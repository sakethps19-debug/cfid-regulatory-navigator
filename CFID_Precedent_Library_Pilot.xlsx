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e15246d8f0f4b34" /></Relationships>
</file>

<file path=xl/workbook.xml><?xml version="1.0" encoding="utf-8"?>
<x:workbook xmlns:x="http://schemas.openxmlformats.org/spreadsheetml/2006/main">
  <x:sheets>
    <x:sheet xmlns:r="http://schemas.openxmlformats.org/officeDocument/2006/relationships" name="Read Me" sheetId="1" r:id="R51e829eea09a4641"/>
    <x:sheet xmlns:r="http://schemas.openxmlformats.org/officeDocument/2006/relationships" name="Order Master" sheetId="2" r:id="Rc9762abf091a4012"/>
    <x:sheet xmlns:r="http://schemas.openxmlformats.org/officeDocument/2006/relationships" name="Scenario Findings" sheetId="3" r:id="Rb5ca172e5a544b63"/>
    <x:sheet xmlns:r="http://schemas.openxmlformats.org/officeDocument/2006/relationships" name="PFUTP 4(2)(e)" sheetId="4" r:id="Rc0e36702c4254381"/>
    <x:sheet xmlns:r="http://schemas.openxmlformats.org/officeDocument/2006/relationships" name="Legal Tests" sheetId="5" r:id="Rf4c6dbaa72384290"/>
    <x:sheet xmlns:r="http://schemas.openxmlformats.org/officeDocument/2006/relationships" name="Provision Index" sheetId="6" r:id="Rc1826197dc544ad0"/>
    <x:sheet xmlns:r="http://schemas.openxmlformats.org/officeDocument/2006/relationships" name="Directions" sheetId="7" r:id="R2ba99fa6f09d4e3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12">
    <x:font>
      <x:sz val="11"/>
      <x:name val="Carlito"/>
    </x:font>
    <x:font>
      <x:b/>
      <x:sz val="16"/>
      <x:color rgb="FFFFFFFF"/>
      <x:name val="Carlito"/>
    </x:font>
    <x:font>
      <x:i/>
      <x:sz val="11"/>
      <x:color rgb="FF243447"/>
      <x:name val="Carlito"/>
    </x:font>
    <x:font>
      <x:b/>
      <x:sz val="11"/>
      <x:color rgb="FFFFFFFF"/>
      <x:name val="Carlito"/>
    </x:font>
    <x:font>
      <x:b/>
      <x:sz val="11"/>
      <x:color rgb="FF243447"/>
      <x:name val="Carlito"/>
    </x:font>
    <x:font>
      <x:sz val="11"/>
      <x:color rgb="FF243447"/>
      <x:name val="Carlito"/>
    </x:font>
    <x:font>
      <x:b/>
      <x:sz val="16"/>
      <x:color rgb="FFFFFFFF"/>
      <x:name val="Aptos"/>
    </x:font>
    <x:font>
      <x:i/>
      <x:sz val="11"/>
      <x:color rgb="FF243447"/>
      <x:name val="Aptos"/>
    </x:font>
    <x:font>
      <x:sz val="11"/>
      <x:name val="Aptos"/>
    </x:font>
    <x:font>
      <x:b/>
      <x:sz val="11"/>
      <x:color rgb="FFFFFFFF"/>
      <x:name val="Aptos"/>
    </x:font>
    <x:font>
      <x:b/>
      <x:sz val="11"/>
      <x:color rgb="FF243447"/>
      <x:name val="Aptos"/>
    </x:font>
    <x:font>
      <x:sz val="11"/>
      <x:color rgb="FF243447"/>
      <x:name val="Aptos"/>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2F2F2"/>
      </x:patternFill>
    </x:fill>
    <x:fill>
      <x:patternFill patternType="solid">
        <x:fgColor rgb="FFF8FBFE"/>
      </x:patternFill>
    </x:fill>
    <x:fill>
      <x:patternFill patternType="solid">
        <x:fgColor rgb="FFFFFDF4"/>
      </x:patternFill>
    </x:fill>
  </x:fills>
  <x:borders count="13">
    <x:border/>
    <x:border>
      <x:left style="thin">
        <x:color rgb="FF17365D"/>
      </x:left>
      <x:top style="thin">
        <x:color rgb="FF17365D"/>
      </x:top>
      <x:bottom style="thin">
        <x:color rgb="FF17365D"/>
      </x:bottom>
    </x:border>
    <x:border>
      <x:right style="thin">
        <x:color rgb="FF17365D"/>
      </x:right>
      <x:top style="thin">
        <x:color rgb="FF17365D"/>
      </x:top>
      <x:bottom style="thin">
        <x:color rgb="FF17365D"/>
      </x:bottom>
    </x:border>
    <x:border>
      <x:top style="thin">
        <x:color rgb="FF17365D"/>
      </x:top>
      <x:bottom style="thin">
        <x:color rgb="FF17365D"/>
      </x:bottom>
    </x:border>
    <x:border>
      <x:right style="thin">
        <x:color rgb="FFD9E1F2"/>
      </x:right>
      <x:bottom style="thin">
        <x:color rgb="FFD9E1F2"/>
      </x:bottom>
    </x:border>
    <x:border>
      <x:left style="thin">
        <x:color rgb="FFD9E1F2"/>
      </x:left>
      <x:right style="thin">
        <x:color rgb="FFD9E1F2"/>
      </x:right>
      <x:bottom style="thin">
        <x:color rgb="FFD9E1F2"/>
      </x:bottom>
    </x:border>
    <x:border>
      <x:left style="thin">
        <x:color rgb="FFD9E1F2"/>
      </x:left>
      <x:bottom style="thin">
        <x:color rgb="FFD9E1F2"/>
      </x:bottom>
    </x:border>
    <x:border>
      <x:right style="thin">
        <x:color rgb="FFD9E1F2"/>
      </x:right>
      <x:top style="thin">
        <x:color rgb="FFD9E1F2"/>
      </x:top>
      <x:bottom style="thin">
        <x:color rgb="FFD9E1F2"/>
      </x:bottom>
    </x:border>
    <x:border>
      <x:left style="thin">
        <x:color rgb="FFD9E1F2"/>
      </x:left>
      <x:right style="thin">
        <x:color rgb="FFD9E1F2"/>
      </x:right>
      <x:top style="thin">
        <x:color rgb="FFD9E1F2"/>
      </x:top>
      <x:bottom style="thin">
        <x:color rgb="FFD9E1F2"/>
      </x:bottom>
    </x:border>
    <x:border>
      <x:left style="thin">
        <x:color rgb="FFD9E1F2"/>
      </x:left>
      <x:top style="thin">
        <x:color rgb="FFD9E1F2"/>
      </x:top>
      <x:bottom style="thin">
        <x:color rgb="FFD9E1F2"/>
      </x:bottom>
    </x:border>
    <x:border>
      <x:right style="thin">
        <x:color rgb="FFD9E1F2"/>
      </x:right>
      <x:top style="thin">
        <x:color rgb="FFD9E1F2"/>
      </x:top>
    </x:border>
    <x:border>
      <x:left style="thin">
        <x:color rgb="FFD9E1F2"/>
      </x:left>
      <x:right style="thin">
        <x:color rgb="FFD9E1F2"/>
      </x:right>
      <x:top style="thin">
        <x:color rgb="FFD9E1F2"/>
      </x:top>
    </x:border>
    <x:border>
      <x:left style="thin">
        <x:color rgb="FFD9E1F2"/>
      </x:left>
      <x:top style="thin">
        <x:color rgb="FFD9E1F2"/>
      </x:top>
    </x:border>
  </x:borders>
  <x:cellStyleXfs count="1">
    <x:xf numFmtId="0" fontId="0" fillId="0" borderId="0"/>
  </x:cellStyleXfs>
  <x:cellXfs count="6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1" xfId="0" applyNumberFormat="1" applyFont="1" applyFill="1" applyBorder="1" applyAlignment="1">
      <x:alignment vertical="center" wrapText="1"/>
    </x:xf>
    <x:xf numFmtId="0" fontId="3" fillId="2" borderId="2" xfId="0" applyNumberFormat="1" applyFont="1" applyFill="1" applyBorder="1" applyAlignment="1">
      <x:alignment vertical="center" wrapText="1"/>
    </x:xf>
    <x:xf numFmtId="0" fontId="0" fillId="4" borderId="0" xfId="0" applyNumberFormat="1" applyFont="1" applyFill="1" applyBorder="1"/>
    <x:xf numFmtId="0" fontId="4" fillId="0" borderId="0" xfId="0" applyNumberFormat="1" applyFont="1" applyFill="1" applyBorder="1"/>
    <x:xf numFmtId="200" fontId="4" fillId="0"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3" fillId="2" borderId="3" xfId="0" applyNumberFormat="1" applyFont="1" applyFill="1" applyBorder="1"/>
    <x:xf numFmtId="0" fontId="3" fillId="2" borderId="3" xfId="0" applyNumberFormat="1" applyFont="1" applyFill="1" applyBorder="1" applyAlignment="1">
      <x:alignment wrapText="1"/>
    </x:xf>
    <x:xf numFmtId="0" fontId="3" fillId="2" borderId="3"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201" fontId="0" fillId="0" borderId="5" xfId="0" applyNumberFormat="1" applyFont="1" applyFill="1" applyBorder="1" applyAlignment="1">
      <x:alignment vertical="top" wrapText="1"/>
    </x:xf>
    <x:xf numFmtId="201" fontId="0" fillId="0" borderId="8"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0" fontId="6" fillId="2" borderId="0" xfId="0" applyNumberFormat="1" applyFont="1" applyFill="1" applyBorder="1" applyAlignment="1">
      <x:alignment vertical="center"/>
    </x:xf>
    <x:xf numFmtId="0" fontId="7" fillId="3" borderId="0" xfId="0" applyNumberFormat="1" applyFont="1" applyFill="1" applyBorder="1" applyAlignment="1">
      <x:alignment wrapText="1"/>
    </x:xf>
    <x:xf numFmtId="0" fontId="8" fillId="0" borderId="0" xfId="0" applyNumberFormat="1" applyFont="1" applyFill="1" applyBorder="1"/>
    <x:xf numFmtId="0" fontId="9" fillId="2" borderId="1" xfId="0" applyNumberFormat="1" applyFont="1" applyFill="1" applyBorder="1" applyAlignment="1">
      <x:alignment vertical="center" wrapText="1"/>
    </x:xf>
    <x:xf numFmtId="0" fontId="9" fillId="2" borderId="2" xfId="0" applyNumberFormat="1" applyFont="1" applyFill="1" applyBorder="1" applyAlignment="1">
      <x:alignment vertical="center" wrapText="1"/>
    </x:xf>
    <x:xf numFmtId="0" fontId="9" fillId="2" borderId="0" xfId="0" applyNumberFormat="1" applyFont="1" applyFill="1" applyBorder="1"/>
    <x:xf numFmtId="0" fontId="8" fillId="4" borderId="0" xfId="0" applyNumberFormat="1" applyFont="1" applyFill="1" applyBorder="1"/>
    <x:xf numFmtId="200" fontId="10" fillId="0" borderId="0" xfId="0" applyNumberFormat="1" applyFont="1" applyFill="1" applyBorder="1"/>
    <x:xf numFmtId="0" fontId="11" fillId="5" borderId="0" xfId="0" applyNumberFormat="1" applyFont="1" applyFill="1" applyBorder="1" applyAlignment="1">
      <x:alignment wrapText="1"/>
    </x:xf>
    <x:xf numFmtId="0" fontId="11" fillId="6" borderId="0" xfId="0" applyNumberFormat="1" applyFont="1" applyFill="1" applyBorder="1" applyAlignment="1">
      <x:alignment wrapText="1"/>
    </x:xf>
    <x:xf numFmtId="0" fontId="9" fillId="2" borderId="3" xfId="0" applyNumberFormat="1" applyFont="1" applyFill="1" applyBorder="1" applyAlignment="1">
      <x:alignment vertical="center" wrapText="1"/>
    </x:xf>
    <x:xf numFmtId="0" fontId="8" fillId="0" borderId="4" xfId="0" applyNumberFormat="1" applyFont="1" applyFill="1" applyBorder="1" applyAlignment="1">
      <x:alignment vertical="top" wrapText="1"/>
    </x:xf>
    <x:xf numFmtId="0" fontId="8" fillId="0" borderId="5" xfId="0" applyNumberFormat="1" applyFont="1" applyFill="1" applyBorder="1" applyAlignment="1">
      <x:alignment vertical="top" wrapText="1"/>
    </x:xf>
    <x:xf numFmtId="201" fontId="8" fillId="0" borderId="5" xfId="0" applyNumberFormat="1" applyFont="1" applyFill="1" applyBorder="1" applyAlignment="1">
      <x:alignment vertical="top" wrapText="1"/>
    </x:xf>
    <x:xf numFmtId="0" fontId="8" fillId="0" borderId="6" xfId="0" applyNumberFormat="1" applyFont="1" applyFill="1" applyBorder="1" applyAlignment="1">
      <x:alignment vertical="top" wrapText="1"/>
    </x:xf>
    <x:xf numFmtId="0" fontId="8" fillId="0" borderId="7" xfId="0" applyNumberFormat="1" applyFont="1" applyFill="1" applyBorder="1" applyAlignment="1">
      <x:alignment vertical="top" wrapText="1"/>
    </x:xf>
    <x:xf numFmtId="0" fontId="8" fillId="0" borderId="8" xfId="0" applyNumberFormat="1" applyFont="1" applyFill="1" applyBorder="1" applyAlignment="1">
      <x:alignment vertical="top" wrapText="1"/>
    </x:xf>
    <x:xf numFmtId="201" fontId="8" fillId="0" borderId="8" xfId="0" applyNumberFormat="1" applyFont="1" applyFill="1" applyBorder="1" applyAlignment="1">
      <x:alignment vertical="top" wrapText="1"/>
    </x:xf>
    <x:xf numFmtId="0" fontId="8" fillId="0" borderId="9" xfId="0" applyNumberFormat="1" applyFont="1" applyFill="1" applyBorder="1" applyAlignment="1">
      <x:alignment vertical="top" wrapText="1"/>
    </x:xf>
    <x:xf numFmtId="0" fontId="8" fillId="0" borderId="10"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201" fontId="8" fillId="0" borderId="11" xfId="0" applyNumberFormat="1" applyFont="1" applyFill="1" applyBorder="1" applyAlignment="1">
      <x:alignment vertical="top" wrapText="1"/>
    </x:xf>
    <x:xf numFmtId="0" fontId="8" fillId="0" borderId="12" xfId="0" applyNumberFormat="1" applyFont="1" applyFill="1" applyBorder="1" applyAlignment="1">
      <x:alignment vertical="top" wrapText="1"/>
    </x:xf>
  </x:cellXfs>
  <x:cellStyles count="1">
    <x:cellStyle name="Normal" xfId="0"/>
  </x:cellStyles>
  <x:dxfs count="8">
    <x:dxf>
      <x:font>
        <x:color rgb="FF375623"/>
      </x:font>
      <x:fill>
        <x:patternFill patternType="solid">
          <x:bgColor rgb="FFE2F0D9"/>
        </x:patternFill>
      </x:fill>
    </x:dxf>
    <x:dxf>
      <x:font>
        <x:b/>
        <x:color rgb="FF9C0006"/>
      </x:font>
      <x:fill>
        <x:patternFill patternType="solid">
          <x:bgColor rgb="FFFCE4D6"/>
        </x:patternFill>
      </x:fill>
    </x:dxf>
    <x:dxf>
      <x:font>
        <x:color rgb="FF7F6000"/>
      </x:font>
      <x:fill>
        <x:patternFill patternType="solid">
          <x:bgColor rgb="FFFFF2CC"/>
        </x:patternFill>
      </x:fill>
    </x:dxf>
    <x:dxf>
      <x:font>
        <x:color rgb="FF243447"/>
      </x:font>
      <x:fill>
        <x:patternFill patternType="solid">
          <x:bgColor rgb="FFD9EAF7"/>
        </x:patternFill>
      </x:fill>
    </x:dxf>
    <x:dxf>
      <x:font>
        <x:color rgb="FF375623"/>
      </x:font>
      <x:fill>
        <x:patternFill patternType="solid">
          <x:bgColor rgb="FFE2F0D9"/>
        </x:patternFill>
      </x:fill>
    </x:dxf>
    <x:dxf>
      <x:font>
        <x:b/>
        <x:color rgb="FF9C0006"/>
      </x:font>
      <x:fill>
        <x:patternFill patternType="solid">
          <x:bgColor rgb="FFFCE4D6"/>
        </x:patternFill>
      </x:fill>
    </x:dxf>
    <x:dxf>
      <x:font>
        <x:color rgb="FF7F6000"/>
      </x:font>
      <x:fill>
        <x:patternFill patternType="solid">
          <x:bgColor rgb="FFFFF2CC"/>
        </x:patternFill>
      </x:fill>
    </x:dxf>
    <x:dxf>
      <x:font>
        <x:color rgb="FF243447"/>
      </x:font>
      <x:fill>
        <x:patternFill patternType="solid">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1500896f2974abc" /><Relationship Type="http://schemas.openxmlformats.org/officeDocument/2006/relationships/theme" Target="/xl/theme/theme1.xml" Id="R68a80b27608e4ae8" /><Relationship Type="http://schemas.openxmlformats.org/officeDocument/2006/relationships/sharedStrings" Target="/xl/sharedStrings.xml" Id="R91f1d45fee0f4bd3" /><Relationship Type="http://schemas.openxmlformats.org/officeDocument/2006/relationships/worksheet" Target="/xl/worksheets/sheet1.xml" Id="R51e829eea09a4641" /><Relationship Type="http://schemas.openxmlformats.org/officeDocument/2006/relationships/worksheet" Target="/xl/worksheets/sheet2.xml" Id="Rc9762abf091a4012" /><Relationship Type="http://schemas.openxmlformats.org/officeDocument/2006/relationships/worksheet" Target="/xl/worksheets/sheet3.xml" Id="Rb5ca172e5a544b63" /><Relationship Type="http://schemas.openxmlformats.org/officeDocument/2006/relationships/worksheet" Target="/xl/worksheets/sheet4.xml" Id="Rc0e36702c4254381" /><Relationship Type="http://schemas.openxmlformats.org/officeDocument/2006/relationships/worksheet" Target="/xl/worksheets/sheet5.xml" Id="Rf4c6dbaa72384290" /><Relationship Type="http://schemas.openxmlformats.org/officeDocument/2006/relationships/worksheet" Target="/xl/worksheets/sheet6.xml" Id="Rc1826197dc544ad0" /><Relationship Type="http://schemas.openxmlformats.org/officeDocument/2006/relationships/worksheet" Target="/xl/worksheets/sheet7.xml" Id="R2ba99fa6f09d4e36" /></Relationships>
</file>

<file path=xl/tables/table1.xml><?xml version="1.0" encoding="utf-8"?>
<x:table xmlns:x="http://schemas.openxmlformats.org/spreadsheetml/2006/main" id="1" name="OrderMasterTable" displayName="OrderMasterTable" ref="A4:I7" headerRowCount="1" totalsRowCount="0" totalsRowShown="0">
  <x:tableColumns count="9">
    <x:tableColumn id="1" name="Case"/>
    <x:tableColumn id="2" name="Order stage"/>
    <x:tableColumn id="3" name="Order date"/>
    <x:tableColumn id="4" name="Order number"/>
    <x:tableColumn id="5" name="Authority"/>
    <x:tableColumn id="6" name="Noticees"/>
    <x:tableColumn id="7" name="Legal status"/>
    <x:tableColumn id="8" name="Official source URL"/>
    <x:tableColumn id="9" name="Scope note"/>
  </x:tableColumns>
  <x:tableStyleInfo name="TableStyleMedium2" showFirstColumn="0" showLastColumn="0" showRowStripes="1" showColumnStripes="0"/>
</x:table>
</file>

<file path=xl/tables/table2.xml><?xml version="1.0" encoding="utf-8"?>
<x:table xmlns:x="http://schemas.openxmlformats.org/spreadsheetml/2006/main" id="2" name="ScenarioFindingsTable" displayName="ScenarioFindingsTable" ref="A4:L38" headerRowCount="1" totalsRowCount="0" totalsRowShown="0">
  <x:tableColumns count="12">
    <x:tableColumn id="1" name="Record ID"/>
    <x:tableColumn id="2" name="Case"/>
    <x:tableColumn id="3" name="Category"/>
    <x:tableColumn id="4" name="Scenario title"/>
    <x:tableColumn id="5" name="Material factual pattern"/>
    <x:tableColumn id="6" name="Provisions considered"/>
    <x:tableColumn id="7" name="Noticees / actors"/>
    <x:tableColumn id="8" name="Outcome status"/>
    <x:tableColumn id="9" name="Interim paragraph references"/>
    <x:tableColumn id="10" name="Final paragraph references"/>
    <x:tableColumn id="11" name="Qualification / note"/>
    <x:tableColumn id="12" name="Official SEBI source"/>
  </x:tableColumns>
  <x:tableStyleInfo name="TableStyleMedium2" showFirstColumn="0" showLastColumn="0" showRowStripes="1" showColumnStripes="0"/>
</x:table>
</file>

<file path=xl/tables/table3.xml><?xml version="1.0" encoding="utf-8"?>
<x:table xmlns:x="http://schemas.openxmlformats.org/spreadsheetml/2006/main" id="3" name="PFUTP42eTable" displayName="PFUTP42eTable" ref="A4:G18" headerRowCount="1" totalsRowCount="0" totalsRowShown="0">
  <x:tableColumns count="7">
    <x:tableColumn id="1" name="Case"/>
    <x:tableColumn id="2" name="Order stage"/>
    <x:tableColumn id="3" name="Scenario"/>
    <x:tableColumn id="4" name="Finding on PFUTP 4(2)(e)"/>
    <x:tableColumn id="5" name="Reasoning / evidentiary link"/>
    <x:tableColumn id="6" name="Paragraph references"/>
    <x:tableColumn id="7" name="Official SEBI source"/>
  </x:tableColumns>
  <x:tableStyleInfo name="TableStyleMedium2" showFirstColumn="0" showLastColumn="0" showRowStripes="1" showColumnStripes="0"/>
</x:table>
</file>

<file path=xl/tables/table4.xml><?xml version="1.0" encoding="utf-8"?>
<x:table xmlns:x="http://schemas.openxmlformats.org/spreadsheetml/2006/main" id="4" name="LegalTestsTable" displayName="LegalTestsTable" ref="A4:D11" headerRowCount="1" totalsRowCount="0" totalsRowShown="0">
  <x:tableColumns count="4">
    <x:tableColumn id="1" name="Test / issue"/>
    <x:tableColumn id="2" name="Working principle derived from orders"/>
    <x:tableColumn id="3" name="Paragraph anchors"/>
    <x:tableColumn id="4" name="Implementation guardrail"/>
  </x:tableColumns>
  <x:tableStyleInfo name="TableStyleMedium2" showFirstColumn="0" showLastColumn="0" showRowStripes="1" showColumnStripes="0"/>
</x:table>
</file>

<file path=xl/tables/table5.xml><?xml version="1.0" encoding="utf-8"?>
<x:table xmlns:x="http://schemas.openxmlformats.org/spreadsheetml/2006/main" id="5" name="ProvisionIndexTable" displayName="ProvisionIndexTable" ref="A4:F29" headerRowCount="1" totalsRowCount="0" totalsRowShown="0">
  <x:tableColumns count="6">
    <x:tableColumn id="1" name="Instrument"/>
    <x:tableColumn id="2" name="Provision"/>
    <x:tableColumn id="3" name="Subject"/>
    <x:tableColumn id="4" name="Cases"/>
    <x:tableColumn id="5" name="Treatment in pilot orders"/>
    <x:tableColumn id="6" name="Law-library note"/>
  </x:tableColumns>
  <x:tableStyleInfo name="TableStyleMedium2" showFirstColumn="0" showLastColumn="0" showRowStripes="1" showColumnStripes="0"/>
</x:table>
</file>

<file path=xl/tables/table6.xml><?xml version="1.0" encoding="utf-8"?>
<x:table xmlns:x="http://schemas.openxmlformats.org/spreadsheetml/2006/main" id="6" name="DirectionsTable" displayName="DirectionsTable" ref="A4:E15" headerRowCount="1" totalsRowCount="0" totalsRowShown="0">
  <x:tableColumns count="5">
    <x:tableColumn id="1" name="Case"/>
    <x:tableColumn id="2" name="Stage"/>
    <x:tableColumn id="3" name="Direction / outcome"/>
    <x:tableColumn id="4" name="Paragraph reference"/>
    <x:tableColumn id="5" name="Official SEBI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2582e31ea5d4acd" /></Relationships>
</file>

<file path=xl/worksheets/_rels/sheet3.xml.rels>&#65279;<?xml version="1.0" encoding="utf-8"?><Relationships xmlns="http://schemas.openxmlformats.org/package/2006/relationships"><Relationship Type="http://schemas.openxmlformats.org/officeDocument/2006/relationships/table" Target="/xl/tables/table2.xml" Id="R78b90524ac714bf7" /></Relationships>
</file>

<file path=xl/worksheets/_rels/sheet4.xml.rels>&#65279;<?xml version="1.0" encoding="utf-8"?><Relationships xmlns="http://schemas.openxmlformats.org/package/2006/relationships"><Relationship Type="http://schemas.openxmlformats.org/officeDocument/2006/relationships/table" Target="/xl/tables/table3.xml" Id="R5687f036a6e84ac9" /></Relationships>
</file>

<file path=xl/worksheets/_rels/sheet5.xml.rels>&#65279;<?xml version="1.0" encoding="utf-8"?><Relationships xmlns="http://schemas.openxmlformats.org/package/2006/relationships"><Relationship Type="http://schemas.openxmlformats.org/officeDocument/2006/relationships/table" Target="/xl/tables/table4.xml" Id="R486e0530c83f454f" /></Relationships>
</file>

<file path=xl/worksheets/_rels/sheet6.xml.rels>&#65279;<?xml version="1.0" encoding="utf-8"?><Relationships xmlns="http://schemas.openxmlformats.org/package/2006/relationships"><Relationship Type="http://schemas.openxmlformats.org/officeDocument/2006/relationships/table" Target="/xl/tables/table5.xml" Id="Rfb2b743ebc9f4cd1" /></Relationships>
</file>

<file path=xl/worksheets/_rels/sheet7.xml.rels>&#65279;<?xml version="1.0" encoding="utf-8"?><Relationships xmlns="http://schemas.openxmlformats.org/package/2006/relationships"><Relationship Type="http://schemas.openxmlformats.org/officeDocument/2006/relationships/table" Target="/xl/tables/table6.xml" Id="Rd1b8a68697d54719" /></Relationships>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12" hidden="0" customWidth="1"/>
    <x:col min="3" max="3" width="4" hidden="0" customWidth="1"/>
    <x:col min="4" max="4" width="20" hidden="0" customWidth="1"/>
    <x:col min="5" max="5" width="20" hidden="0" customWidth="1"/>
    <x:col min="6" max="6" width="20" hidden="0" customWidth="1"/>
    <x:col min="7" max="7" width="20" hidden="0" customWidth="1"/>
    <x:col min="8" max="8" width="20" hidden="0" customWidth="1"/>
  </x:cols>
  <x:sheetData>
    <x:row r="1" ht="32" customHeight="1">
      <x:c r="A1" s="40" t="str">
        <x:v>CFID Precedent Library - Pilot Batch</x:v>
      </x:c>
      <x:c r="B1" s="40"/>
      <x:c r="C1" s="40"/>
      <x:c r="D1" s="40"/>
      <x:c r="E1" s="40"/>
      <x:c r="F1" s="40"/>
      <x:c r="G1" s="40"/>
      <x:c r="H1" s="40"/>
    </x:row>
    <x:row r="2" ht="34" customHeight="1">
      <x:c r="A2" s="41" t="str">
        <x:v>Source scope: three public SEBI orders - Rajesh Exports interim order and Seacoast Shipping interim and final orders.</x:v>
      </x:c>
      <x:c r="B2" s="41"/>
      <x:c r="C2" s="41"/>
      <x:c r="D2" s="41"/>
      <x:c r="E2" s="41"/>
      <x:c r="F2" s="41"/>
      <x:c r="G2" s="41"/>
      <x:c r="H2" s="41"/>
    </x:row>
    <x:row r="3">
      <x:c r="A3" s="42"/>
      <x:c r="B3" s="42"/>
      <x:c r="C3" s="42"/>
      <x:c r="D3" s="42"/>
      <x:c r="E3" s="42"/>
      <x:c r="F3" s="42"/>
      <x:c r="G3" s="42"/>
      <x:c r="H3" s="42"/>
    </x:row>
    <x:row r="4" ht="30" customHeight="1">
      <x:c r="A4" s="43" t="str">
        <x:v>Metric</x:v>
      </x:c>
      <x:c r="B4" s="44" t="str">
        <x:v>Count</x:v>
      </x:c>
      <x:c r="C4" s="42"/>
      <x:c r="D4" s="45" t="str">
        <x:v>How to read this pilot</x:v>
      </x:c>
      <x:c r="E4" s="45"/>
      <x:c r="F4" s="45"/>
      <x:c r="G4" s="45"/>
      <x:c r="H4" s="45"/>
    </x:row>
    <x:row r="5" ht="30" customHeight="1">
      <x:c r="A5" s="46" t="str">
        <x:v>Orders reviewed</x:v>
      </x:c>
      <x:c r="B5" s="47" t="n">
        <x:f>COUNTA('Order Master'!A5:A7)</x:f>
        <x:v>3</x:v>
      </x:c>
      <x:c r="C5" s="42"/>
      <x:c r="D5" s="48" t="str">
        <x:v>1. “Prima facie” is not a final determination.</x:v>
      </x:c>
      <x:c r="E5" s="48" t="str"/>
      <x:c r="F5" s="48" t="str"/>
      <x:c r="G5" s="48" t="str"/>
      <x:c r="H5" s="48" t="str"/>
    </x:row>
    <x:row r="6" ht="30" customHeight="1">
      <x:c r="A6" s="46" t="str">
        <x:v>Scenario propositions</x:v>
      </x:c>
      <x:c r="B6" s="47" t="n">
        <x:f>COUNTA('Scenario Findings'!A5:A38)</x:f>
        <x:v>34</x:v>
      </x:c>
      <x:c r="C6" s="42"/>
      <x:c r="D6" s="48" t="str">
        <x:v>2. Prefer the final Seacoast finding when it differs from the interim order.</x:v>
      </x:c>
      <x:c r="E6" s="48" t="str"/>
      <x:c r="F6" s="48" t="str"/>
      <x:c r="G6" s="48" t="str"/>
      <x:c r="H6" s="48" t="str"/>
    </x:row>
    <x:row r="7" ht="30" customHeight="1">
      <x:c r="A7" s="46" t="str">
        <x:v>Prima facie propositions</x:v>
      </x:c>
      <x:c r="B7" s="47" t="n">
        <x:f>COUNTIF('Scenario Findings'!H5:H38,"Prima facie")</x:f>
        <x:v>12</x:v>
      </x:c>
      <x:c r="C7" s="42"/>
      <x:c r="D7" s="48" t="str">
        <x:v>3. Every proposition is stored separately because one allegation may be upheld while another under the same provision is rejected.</x:v>
      </x:c>
      <x:c r="E7" s="48" t="str"/>
      <x:c r="F7" s="48" t="str"/>
      <x:c r="G7" s="48" t="str"/>
      <x:c r="H7" s="48" t="str"/>
    </x:row>
    <x:row r="8" ht="30" customHeight="1">
      <x:c r="A8" s="46" t="str">
        <x:v>Final propositions upheld</x:v>
      </x:c>
      <x:c r="B8" s="47" t="n">
        <x:f>COUNTIF('Scenario Findings'!H5:H38,"Upheld")</x:f>
        <x:v>19</x:v>
      </x:c>
      <x:c r="C8" s="42"/>
      <x:c r="D8" s="48" t="str">
        <x:v>4. PFUTP Regulation 4(2)(e) and LODR Regulation 4(2)(e)(i) are separate provisions and must never be conflated.</x:v>
      </x:c>
      <x:c r="E8" s="48" t="str"/>
      <x:c r="F8" s="48" t="str"/>
      <x:c r="G8" s="48" t="str"/>
      <x:c r="H8" s="48" t="str"/>
    </x:row>
    <x:row r="9" ht="30" customHeight="1">
      <x:c r="A9" s="46" t="str">
        <x:v>Final propositions partly upheld</x:v>
      </x:c>
      <x:c r="B9" s="47" t="n">
        <x:f>COUNTIF('Scenario Findings'!H5:H38,"Partly upheld")</x:f>
        <x:v>1</x:v>
      </x:c>
      <x:c r="C9" s="42"/>
      <x:c r="D9" s="48" t="str">
        <x:v>5. Paragraph references are the retrieval anchors for the future chatbot.</x:v>
      </x:c>
      <x:c r="E9" s="48" t="str"/>
      <x:c r="F9" s="48" t="str"/>
      <x:c r="G9" s="48" t="str"/>
      <x:c r="H9" s="48" t="str"/>
    </x:row>
    <x:row r="10">
      <x:c r="A10" s="46" t="str">
        <x:v>Final propositions not upheld</x:v>
      </x:c>
      <x:c r="B10" s="47" t="n">
        <x:f>COUNTIF('Scenario Findings'!H5:H38,"Not upheld")</x:f>
        <x:v>2</x:v>
      </x:c>
      <x:c r="C10" s="42"/>
      <x:c r="D10" s="42"/>
      <x:c r="E10" s="42"/>
      <x:c r="F10" s="42"/>
      <x:c r="G10" s="42"/>
      <x:c r="H10" s="42"/>
    </x:row>
    <x:row r="11">
      <x:c r="A11" s="42"/>
      <x:c r="B11" s="42"/>
      <x:c r="C11" s="42"/>
      <x:c r="D11" s="42"/>
      <x:c r="E11" s="42"/>
      <x:c r="F11" s="42"/>
      <x:c r="G11" s="42"/>
      <x:c r="H11" s="42"/>
    </x:row>
    <x:row r="12">
      <x:c r="A12" s="45" t="str">
        <x:v>Pilot conclusions</x:v>
      </x:c>
      <x:c r="B12" s="45"/>
      <x:c r="C12" s="45"/>
      <x:c r="D12" s="45"/>
      <x:c r="E12" s="45"/>
      <x:c r="F12" s="45"/>
      <x:c r="G12" s="45"/>
      <x:c r="H12" s="45"/>
    </x:row>
    <x:row r="13" ht="34" customHeight="1">
      <x:c r="A13" s="49" t="str">
        <x:v>Regulation 4(2)(e) was used where false financial reporting, sham allotment or diversion was connected to investor inducement or distorted price discovery.</x:v>
      </x:c>
      <x:c r="B13" s="49" t="str"/>
      <x:c r="C13" s="49" t="str"/>
      <x:c r="D13" s="49" t="str"/>
      <x:c r="E13" s="49" t="str"/>
      <x:c r="F13" s="49" t="str"/>
      <x:c r="G13" s="49" t="str"/>
      <x:c r="H13" s="49" t="str"/>
    </x:row>
    <x:row r="14" ht="34" customHeight="1">
      <x:c r="A14" s="49" t="str">
        <x:v>Seacoast demonstrates a negative precedent: the cash preferential-allotment allegation failed after explanations were supported and evidentiary gaps remained.</x:v>
      </x:c>
      <x:c r="B14" s="49" t="str"/>
      <x:c r="C14" s="49" t="str"/>
      <x:c r="D14" s="49" t="str"/>
      <x:c r="E14" s="49" t="str"/>
      <x:c r="F14" s="49" t="str"/>
      <x:c r="G14" s="49" t="str"/>
      <x:c r="H14" s="49" t="str"/>
    </x:row>
    <x:row r="15" ht="34" customHeight="1">
      <x:c r="A15" s="49" t="str">
        <x:v>Circular movement of money is an indicator, not a complete conclusion; purpose, accounting, counterparties, timing and ultimate benefit must be tested.</x:v>
      </x:c>
      <x:c r="B15" s="49" t="str"/>
      <x:c r="C15" s="49" t="str"/>
      <x:c r="D15" s="49" t="str"/>
      <x:c r="E15" s="49" t="str"/>
      <x:c r="F15" s="49" t="str"/>
      <x:c r="G15" s="49" t="str"/>
      <x:c r="H15" s="49" t="str"/>
    </x:row>
    <x:row r="16" ht="34" customHeight="1">
      <x:c r="A16" s="49" t="str">
        <x:v>The future chatbot should report “potential violation” with analogous precedents and contrary precedents, not give a binary automated legal conclusion.</x:v>
      </x:c>
      <x:c r="B16" s="49" t="str"/>
      <x:c r="C16" s="49" t="str"/>
      <x:c r="D16" s="49" t="str"/>
      <x:c r="E16" s="49" t="str"/>
      <x:c r="F16" s="49" t="str"/>
      <x:c r="G16" s="49" t="str"/>
      <x:c r="H16" s="49" t="str"/>
    </x:row>
    <x:row r="17" ht="34" customHeight="1">
      <x:c r="A17" s="49" t="str">
        <x:v>This workbook is a research aid based only on the identified public SEBI orders; current statutory text will be maintained separately in the law library.</x:v>
      </x:c>
      <x:c r="B17" s="49" t="str"/>
      <x:c r="C17" s="49" t="str"/>
      <x:c r="D17" s="49" t="str"/>
      <x:c r="E17" s="49" t="str"/>
      <x:c r="F17" s="49" t="str"/>
      <x:c r="G17" s="49" t="str"/>
      <x:c r="H17" s="49" t="str"/>
    </x:row>
    <x:row r="18">
      <x:c r="A18" s="42"/>
      <x:c r="B18" s="42"/>
      <x:c r="C18" s="42"/>
      <x:c r="D18" s="42"/>
      <x:c r="E18" s="42"/>
      <x:c r="F18" s="42"/>
      <x:c r="G18" s="42"/>
      <x:c r="H18" s="42"/>
    </x:row>
    <x:row r="19">
      <x:c r="A19" s="45" t="str">
        <x:v>Recommended user-query output</x:v>
      </x:c>
      <x:c r="B19" s="45"/>
      <x:c r="C19" s="45"/>
      <x:c r="D19" s="45"/>
      <x:c r="E19" s="45"/>
      <x:c r="F19" s="45"/>
      <x:c r="G19" s="45"/>
      <x:c r="H19" s="45"/>
    </x:row>
    <x:row r="20" ht="28" customHeight="1">
      <x:c r="A20" s="48" t="str">
        <x:v>Potential provision(s) → factual elements matched → supporting order/paragraph → contrary order/paragraph → procedural status → confidence → missing facts needed.</x:v>
      </x:c>
      <x:c r="B20" s="48" t="str"/>
      <x:c r="C20" s="48" t="str"/>
      <x:c r="D20" s="48" t="str"/>
      <x:c r="E20" s="48" t="str"/>
      <x:c r="F20" s="48" t="str"/>
      <x:c r="G20" s="48" t="str"/>
      <x:c r="H20" s="48" t="str"/>
    </x:row>
    <x:row r="21" ht="28" customHeight="1">
      <x:c r="A21" s="48" t="str">
        <x:v>Always distinguish: alleged / prima facie / upheld / partly upheld / not upheld.</x:v>
      </x:c>
      <x:c r="B21" s="48" t="str"/>
      <x:c r="C21" s="48" t="str"/>
      <x:c r="D21" s="48" t="str"/>
      <x:c r="E21" s="48" t="str"/>
      <x:c r="F21" s="48" t="str"/>
      <x:c r="G21" s="48" t="str"/>
      <x:c r="H21" s="48" t="str"/>
    </x:row>
    <x:row r="22" ht="28" customHeight="1">
      <x:c r="A22" s="48" t="str">
        <x:v>Always identify the instrument: e.g., PFUTP 4(2)(e) versus LODR 4(2)(e)(i).</x:v>
      </x:c>
      <x:c r="B22" s="48" t="str"/>
      <x:c r="C22" s="48" t="str"/>
      <x:c r="D22" s="48" t="str"/>
      <x:c r="E22" s="48" t="str"/>
      <x:c r="F22" s="48" t="str"/>
      <x:c r="G22" s="48" t="str"/>
      <x:c r="H22" s="48" t="str"/>
    </x:row>
    <x:row r="23" ht="28" customHeight="1">
      <x:c r="A23" s="48" t="str">
        <x:v>Do not infer guilt solely because a regulation appears in an interim order.</x:v>
      </x:c>
      <x:c r="B23" s="48" t="str"/>
      <x:c r="C23" s="48" t="str"/>
      <x:c r="D23" s="48" t="str"/>
      <x:c r="E23" s="48" t="str"/>
      <x:c r="F23" s="48" t="str"/>
      <x:c r="G23" s="48" t="str"/>
      <x:c r="H23" s="48" t="str"/>
    </x:row>
    <x:row r="24" ht="28" customHeight="1">
      <x:c r="A24" s="48" t="str">
        <x:v>Citations should link back to the official SEBI order and paragraph range.</x:v>
      </x:c>
      <x:c r="B24" s="48" t="str"/>
      <x:c r="C24" s="48" t="str"/>
      <x:c r="D24" s="48" t="str"/>
      <x:c r="E24" s="48" t="str"/>
      <x:c r="F24" s="48" t="str"/>
      <x:c r="G24" s="48" t="str"/>
      <x:c r="H24" s="48" t="str"/>
    </x:row>
  </x:sheetData>
  <x:mergeCells>
    <x:mergeCell ref="A1:H1"/>
    <x:mergeCell ref="A2:H2"/>
    <x:mergeCell ref="D4:H4"/>
    <x:mergeCell ref="D5:H5"/>
    <x:mergeCell ref="D6:H6"/>
    <x:mergeCell ref="D7:H7"/>
    <x:mergeCell ref="D8:H8"/>
    <x:mergeCell ref="D9:H9"/>
    <x:mergeCell ref="A12:H12"/>
    <x:mergeCell ref="A13:H13"/>
    <x:mergeCell ref="A14:H14"/>
    <x:mergeCell ref="A15:H15"/>
    <x:mergeCell ref="A16:H16"/>
    <x:mergeCell ref="A17:H17"/>
    <x:mergeCell ref="A19:H19"/>
    <x:mergeCell ref="A20:H20"/>
    <x:mergeCell ref="A21:H21"/>
    <x:mergeCell ref="A22:H22"/>
    <x:mergeCell ref="A23:H23"/>
    <x:mergeCell ref="A24:H2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13" hidden="0" customWidth="1"/>
    <x:col min="4" max="4" width="34" hidden="0" customWidth="1"/>
    <x:col min="5" max="5" width="28" hidden="0" customWidth="1"/>
    <x:col min="6" max="6" width="10" hidden="0" customWidth="1"/>
    <x:col min="7" max="7" width="30" hidden="0" customWidth="1"/>
    <x:col min="8" max="8" width="52" hidden="0" customWidth="1"/>
    <x:col min="9" max="9" width="52" hidden="0" customWidth="1"/>
  </x:cols>
  <x:sheetData>
    <x:row r="1" ht="32" customHeight="1">
      <x:c r="A1" s="40" t="str">
        <x:v>Order Master</x:v>
      </x:c>
      <x:c r="B1" s="40"/>
      <x:c r="C1" s="40"/>
      <x:c r="D1" s="40"/>
      <x:c r="E1" s="40"/>
      <x:c r="F1" s="40"/>
      <x:c r="G1" s="40"/>
      <x:c r="H1" s="40"/>
      <x:c r="I1" s="40"/>
    </x:row>
    <x:row r="2" ht="34" customHeight="1">
      <x:c r="A2" s="41" t="str">
        <x:v>Canonical metadata for the three official SEBI source orders.</x:v>
      </x:c>
      <x:c r="B2" s="41"/>
      <x:c r="C2" s="41"/>
      <x:c r="D2" s="41"/>
      <x:c r="E2" s="41"/>
      <x:c r="F2" s="41"/>
      <x:c r="G2" s="41"/>
      <x:c r="H2" s="41"/>
      <x:c r="I2" s="41"/>
    </x:row>
    <x:row r="3">
      <x:c r="A3" s="42"/>
      <x:c r="B3" s="42"/>
      <x:c r="C3" s="42"/>
      <x:c r="D3" s="42"/>
      <x:c r="E3" s="42"/>
      <x:c r="F3" s="42"/>
      <x:c r="G3" s="42"/>
      <x:c r="H3" s="42"/>
      <x:c r="I3" s="42"/>
    </x:row>
    <x:row r="4" ht="30" customHeight="1">
      <x:c r="A4" s="43" t="str">
        <x:v>Case</x:v>
      </x:c>
      <x:c r="B4" s="50" t="str">
        <x:v>Order stage</x:v>
      </x:c>
      <x:c r="C4" s="50" t="str">
        <x:v>Order date</x:v>
      </x:c>
      <x:c r="D4" s="50" t="str">
        <x:v>Order number</x:v>
      </x:c>
      <x:c r="E4" s="50" t="str">
        <x:v>Authority</x:v>
      </x:c>
      <x:c r="F4" s="50" t="str">
        <x:v>Noticees</x:v>
      </x:c>
      <x:c r="G4" s="50" t="str">
        <x:v>Legal status</x:v>
      </x:c>
      <x:c r="H4" s="50" t="str">
        <x:v>Official source URL</x:v>
      </x:c>
      <x:c r="I4" s="44" t="str">
        <x:v>Scope note</x:v>
      </x:c>
    </x:row>
    <x:row r="5">
      <x:c r="A5" s="51" t="str">
        <x:v>Rajesh Exports Limited</x:v>
      </x:c>
      <x:c r="B5" s="52" t="str">
        <x:v>Interim order</x:v>
      </x:c>
      <x:c r="C5" s="53" t="str">
        <x:v>2026-06-03</x:v>
      </x:c>
      <x:c r="D5" s="52" t="str">
        <x:v>WTM/KV/CFID/CFID-SEC6/32431/2026-27</x:v>
      </x:c>
      <x:c r="E5" s="52" t="str">
        <x:v>Kamlesh C. Varshney, Whole Time Member</x:v>
      </x:c>
      <x:c r="F5" s="52" t="str">
        <x:v>2</x:v>
      </x:c>
      <x:c r="G5" s="52" t="str">
        <x:v>Prima facie; investigation continuing</x:v>
      </x:c>
      <x:c r="H5" s="52" t="str">
        <x:v>https://www.sebi.gov.in/enforcement/orders/jun-2026/interim-order-in-the-matter-of-rajesh-exports-limited_101820.html</x:v>
      </x:c>
      <x:c r="I5" s="54" t="str">
        <x:v>Financial-statement manipulation, concealment, fund routing/misutilisation and non-cooperation.</x:v>
      </x:c>
    </x:row>
    <x:row r="6">
      <x:c r="A6" s="55" t="str">
        <x:v>Seacoast Shipping Services Limited</x:v>
      </x:c>
      <x:c r="B6" s="56" t="str">
        <x:v>Interim order cum show cause notice</x:v>
      </x:c>
      <x:c r="C6" s="57" t="str">
        <x:v>2024-09-30</x:v>
      </x:c>
      <x:c r="D6" s="56" t="str">
        <x:v>WTM/AB/CFID/CFID-SEC6/30827/2024-25</x:v>
      </x:c>
      <x:c r="E6" s="56" t="str">
        <x:v>Ashwani Bhatia, Whole Time Member</x:v>
      </x:c>
      <x:c r="F6" s="56" t="str">
        <x:v>22</x:v>
      </x:c>
      <x:c r="G6" s="56" t="str">
        <x:v>Prima facie findings and preventive directions</x:v>
      </x:c>
      <x:c r="H6" s="56" t="str">
        <x:v>https://www.sebi.gov.in/enforcement/orders/sep-2024/interim-order-in-the-matter-of-seacoast-shipping-services-limited_87152.html</x:v>
      </x:c>
      <x:c r="I6" s="58" t="str">
        <x:v>Misstated financials, preferential allotments, fund diversion and corporate-governance failures.</x:v>
      </x:c>
    </x:row>
    <x:row r="7">
      <x:c r="A7" s="59" t="str">
        <x:v>Seacoast Shipping Services Limited</x:v>
      </x:c>
      <x:c r="B7" s="60" t="str">
        <x:v>Final order</x:v>
      </x:c>
      <x:c r="C7" s="61" t="str">
        <x:v>2025-09-24</x:v>
      </x:c>
      <x:c r="D7" s="60" t="str">
        <x:v>WTM/KV/CFID/CFID-CORD/31688/2025-26</x:v>
      </x:c>
      <x:c r="E7" s="60" t="str">
        <x:v>Kamlesh C. Varshney, Whole Time Member</x:v>
      </x:c>
      <x:c r="F7" s="60" t="str">
        <x:v>22</x:v>
      </x:c>
      <x:c r="G7" s="60" t="str">
        <x:v>Final findings, penalties, disgorgement and directions</x:v>
      </x:c>
      <x:c r="H7" s="60" t="str">
        <x:v>https://www.sebi.gov.in/sebi_data/attachdocs/sep-2025/final_order_sssl.pdf</x:v>
      </x:c>
      <x:c r="I7" s="62" t="str">
        <x:v>Final adjudication of the allegations contained in the interim order cum SCN.</x:v>
      </x:c>
    </x:row>
  </x:sheetData>
  <x:mergeCells>
    <x:mergeCell ref="A1:I1"/>
    <x:mergeCell ref="A2:I2"/>
  </x:mergeCells>
  <x:pageMargins left="0.7" right="0.7" top="0.75" bottom="0.75" header="0.3" footer="0.3"/>
  <x:tableParts count="1">
    <x:tablePart xmlns:r="http://schemas.openxmlformats.org/officeDocument/2006/relationships" r:id="Rb2582e31ea5d4ac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30" hidden="0" customWidth="1"/>
    <x:col min="3" max="3" width="22" hidden="0" customWidth="1"/>
    <x:col min="4" max="4" width="40" hidden="0" customWidth="1"/>
    <x:col min="5" max="5" width="58" hidden="0" customWidth="1"/>
    <x:col min="6" max="6" width="58" hidden="0" customWidth="1"/>
    <x:col min="7" max="7" width="25" hidden="0" customWidth="1"/>
    <x:col min="8" max="8" width="16" hidden="0" customWidth="1"/>
    <x:col min="9" max="9" width="35" hidden="0" customWidth="1"/>
    <x:col min="10" max="10" width="35" hidden="0" customWidth="1"/>
    <x:col min="11" max="11" width="45" hidden="0" customWidth="1"/>
    <x:col min="12" max="12" width="50" hidden="0" customWidth="1"/>
  </x:cols>
  <x:sheetData>
    <x:row r="1" ht="32" customHeight="1">
      <x:c r="A1" s="40" t="str">
        <x:v>Scenario and Finding Matrix</x:v>
      </x:c>
      <x:c r="B1" s="40"/>
      <x:c r="C1" s="40"/>
      <x:c r="D1" s="40"/>
      <x:c r="E1" s="40"/>
      <x:c r="F1" s="40"/>
      <x:c r="G1" s="40"/>
      <x:c r="H1" s="40"/>
      <x:c r="I1" s="40"/>
      <x:c r="J1" s="40"/>
      <x:c r="K1" s="40"/>
      <x:c r="L1" s="40"/>
    </x:row>
    <x:row r="2" ht="34" customHeight="1">
      <x:c r="A2" s="41" t="str">
        <x:v>Each row is one factual proposition. Status is tied to the specific allegation, not to the order as a whole.</x:v>
      </x:c>
      <x:c r="B2" s="41"/>
      <x:c r="C2" s="41"/>
      <x:c r="D2" s="41"/>
      <x:c r="E2" s="41"/>
      <x:c r="F2" s="41"/>
      <x:c r="G2" s="41"/>
      <x:c r="H2" s="41"/>
      <x:c r="I2" s="41"/>
      <x:c r="J2" s="41"/>
      <x:c r="K2" s="41"/>
      <x:c r="L2" s="41"/>
    </x:row>
    <x:row r="3">
      <x:c r="A3" s="42"/>
      <x:c r="B3" s="42"/>
      <x:c r="C3" s="42"/>
      <x:c r="D3" s="42"/>
      <x:c r="E3" s="42"/>
      <x:c r="F3" s="42"/>
      <x:c r="G3" s="42"/>
      <x:c r="H3" s="42"/>
      <x:c r="I3" s="42"/>
      <x:c r="J3" s="42"/>
      <x:c r="K3" s="42"/>
      <x:c r="L3" s="42"/>
    </x:row>
    <x:row r="4" ht="30" customHeight="1">
      <x:c r="A4" s="43" t="str">
        <x:v>Record ID</x:v>
      </x:c>
      <x:c r="B4" s="50" t="str">
        <x:v>Case</x:v>
      </x:c>
      <x:c r="C4" s="50" t="str">
        <x:v>Category</x:v>
      </x:c>
      <x:c r="D4" s="50" t="str">
        <x:v>Scenario title</x:v>
      </x:c>
      <x:c r="E4" s="50" t="str">
        <x:v>Material factual pattern</x:v>
      </x:c>
      <x:c r="F4" s="50" t="str">
        <x:v>Provisions considered</x:v>
      </x:c>
      <x:c r="G4" s="50" t="str">
        <x:v>Noticees / actors</x:v>
      </x:c>
      <x:c r="H4" s="50" t="str">
        <x:v>Outcome status</x:v>
      </x:c>
      <x:c r="I4" s="50" t="str">
        <x:v>Interim paragraph references</x:v>
      </x:c>
      <x:c r="J4" s="50" t="str">
        <x:v>Final paragraph references</x:v>
      </x:c>
      <x:c r="K4" s="50" t="str">
        <x:v>Qualification / note</x:v>
      </x:c>
      <x:c r="L4" s="44" t="str">
        <x:v>Official SEBI source</x:v>
      </x:c>
    </x:row>
    <x:row r="5">
      <x:c r="A5" s="51" t="str">
        <x:v>REL-01</x:v>
      </x:c>
      <x:c r="B5" s="52" t="str">
        <x:v>Rajesh Exports Limited</x:v>
      </x:c>
      <x:c r="C5" s="52" t="str">
        <x:v>Financial disclosure</x:v>
      </x:c>
      <x:c r="D5" s="52" t="str">
        <x:v>Non-disclosure of subsidiary financial statements</x:v>
      </x:c>
      <x:c r="E5" s="52" t="str">
        <x:v>Financial statements of subsidiaries/step-down subsidiaries contributing substantially to consolidated revenue and assets were not uploaded or produced.</x:v>
      </x:c>
      <x:c r="F5" s="52" t="str">
        <x:v>LODR Reg. 46(2)(s); Companies Act s.136(1)</x:v>
      </x:c>
      <x:c r="G5" s="52" t="str">
        <x:v>Rajesh Exports Limited</x:v>
      </x:c>
      <x:c r="H5" s="52" t="str">
        <x:v>Prima facie</x:v>
      </x:c>
      <x:c r="I5" s="52" t="str">
        <x:v>Interim paras 9-27; summary para 219(I); finding para 222(V)</x:v>
      </x:c>
      <x:c r="J5" s="52" t="str"/>
      <x:c r="K5" s="52" t="str">
        <x:v>https://www.sebi.gov.in/enforcement/orders/jun-2026/interim-order-in-the-matter-of-rajesh-exports-limited_101820.html</x:v>
      </x:c>
      <x:c r="L5" s="54"/>
    </x:row>
    <x:row r="6">
      <x:c r="A6" s="55" t="str">
        <x:v>REL-02</x:v>
      </x:c>
      <x:c r="B6" s="56" t="str">
        <x:v>Rajesh Exports Limited</x:v>
      </x:c>
      <x:c r="C6" s="56" t="str">
        <x:v>Consolidated financial statements</x:v>
      </x:c>
      <x:c r="D6" s="56" t="str">
        <x:v>Unsupported/inflated consolidated revenue</x:v>
      </x:c>
      <x:c r="E6" s="56" t="str">
        <x:v>Approximately INR 15,15,385 crore of consolidated revenue for FY 2020-21 to FY 2024-25 was treated as prima facie misrepresented; subsidiary records and consolidation support were not furnished.</x:v>
      </x:c>
      <x:c r="F6" s="56" t="str">
        <x:v>PFUTP Reg. 3(b), 3(c), 3(d), 4(1), 4(2)(e), 4(2)(f), 4(2)(k), 4(2)(r); SEBI Act s.12A(a)-(c); LODR Reg. 4(1)(a)-(c), 4(1)(e), 4(1)(g), 4(1)(h), 4(1)(j), 4(2)(e)(i), 33(1)(a), 33(1)(c), 48; Ind AS 1, 110 and 115</x:v>
      </x:c>
      <x:c r="G6" s="56" t="str">
        <x:v>Rajesh Exports Limited</x:v>
      </x:c>
      <x:c r="H6" s="56" t="str">
        <x:v>Prima facie</x:v>
      </x:c>
      <x:c r="I6" s="56" t="str">
        <x:v>Interim paras 28-53; summary para 219(VI); findings para 222(I),(II),(IV)</x:v>
      </x:c>
      <x:c r="J6" s="56" t="str"/>
      <x:c r="K6" s="56" t="str">
        <x:v>https://www.sebi.gov.in/enforcement/orders/jun-2026/interim-order-in-the-matter-of-rajesh-exports-limited_101820.html</x:v>
      </x:c>
      <x:c r="L6" s="58"/>
    </x:row>
    <x:row r="7">
      <x:c r="A7" s="55" t="str">
        <x:v>REL-03</x:v>
      </x:c>
      <x:c r="B7" s="56" t="str">
        <x:v>Rajesh Exports Limited</x:v>
      </x:c>
      <x:c r="C7" s="56" t="str">
        <x:v>Investigation cooperation</x:v>
      </x:c>
      <x:c r="D7" s="56" t="str">
        <x:v>Contradictory and incomplete submissions</x:v>
      </x:c>
      <x:c r="E7" s="56" t="str">
        <x:v>Different customer-wise sales figures were furnished at different stages and complete information was not produced despite repeated summons.</x:v>
      </x:c>
      <x:c r="F7" s="56" t="str">
        <x:v>SEBI Act s.11(2)(ia) and s.11C(3)</x:v>
      </x:c>
      <x:c r="G7" s="56" t="str">
        <x:v>Rajesh Exports Limited</x:v>
      </x:c>
      <x:c r="H7" s="56" t="str">
        <x:v>Prima facie</x:v>
      </x:c>
      <x:c r="I7" s="56" t="str">
        <x:v>Interim paras 6-8, 25-27 and 54-66; summary para 219(VIII),(XIV); finding para 222(VI),(VII)</x:v>
      </x:c>
      <x:c r="J7" s="56" t="str"/>
      <x:c r="K7" s="56" t="str">
        <x:v>https://www.sebi.gov.in/enforcement/orders/jun-2026/interim-order-in-the-matter-of-rajesh-exports-limited_101820.html</x:v>
      </x:c>
      <x:c r="L7" s="58"/>
    </x:row>
    <x:row r="8">
      <x:c r="A8" s="55" t="str">
        <x:v>REL-04</x:v>
      </x:c>
      <x:c r="B8" s="56" t="str">
        <x:v>Rajesh Exports Limited</x:v>
      </x:c>
      <x:c r="C8" s="56" t="str">
        <x:v>Standalone financial statements</x:v>
      </x:c>
      <x:c r="D8" s="56" t="str">
        <x:v>Personal derivative trades booked as company sales and purchases</x:v>
      </x:c>
      <x:c r="E8" s="56" t="str">
        <x:v>Derivative transactions executed through the promoter’s personal account were recorded as REL sales of INR 11,487 crore and purchases of INR 11,488 crore.</x:v>
      </x:c>
      <x:c r="F8" s="56" t="str">
        <x:v>PFUTP Reg. 3(b), 3(c), 3(d), 4(1), 4(2)(e), 4(2)(f), 4(2)(k), 4(2)(r); SEBI Act s.12A(a)-(c); LODR Reg. 4(1)(a)-(c), 4(1)(e), 4(1)(g), 4(1)(h), 4(1)(j), 4(2)(e)(i), 33(1)(a), 33(1)(c), 48; Ind AS 1 and 115</x:v>
      </x:c>
      <x:c r="G8" s="56" t="str">
        <x:v>Rajesh Exports Limited</x:v>
      </x:c>
      <x:c r="H8" s="56" t="str">
        <x:v>Prima facie</x:v>
      </x:c>
      <x:c r="I8" s="56" t="str">
        <x:v>Interim paras 67-87; summary para 219(II); findings paras 86-87 and 222(I),(II),(IV)</x:v>
      </x:c>
      <x:c r="J8" s="56" t="str"/>
      <x:c r="K8" s="56" t="str">
        <x:v>https://www.sebi.gov.in/enforcement/orders/jun-2026/interim-order-in-the-matter-of-rajesh-exports-limited_101820.html</x:v>
      </x:c>
      <x:c r="L8" s="58"/>
    </x:row>
    <x:row r="9">
      <x:c r="A9" s="55" t="str">
        <x:v>REL-05</x:v>
      </x:c>
      <x:c r="B9" s="56" t="str">
        <x:v>Rajesh Exports Limited</x:v>
      </x:c>
      <x:c r="C9" s="56" t="str">
        <x:v>Revenue recognition</x:v>
      </x:c>
      <x:c r="D9" s="56" t="str">
        <x:v>Foreign-exchange differences and investment interest included in revenue from operations</x:v>
      </x:c>
      <x:c r="E9" s="56" t="str">
        <x:v>Foreign-exchange fluctuations of about INR 867 crore and interest on mutual funds/fixed deposits of INR 204 crore were included in operating revenue; exchange fluctuation of about INR 716 crore was included in purchases.</x:v>
      </x:c>
      <x:c r="F9" s="56" t="str">
        <x:v>PFUTP Reg. 3(b), 3(c), 3(d), 4(1), 4(2)(e), 4(2)(f), 4(2)(k), 4(2)(r); SEBI Act s.12A(a)-(c); LODR Reg. 4(1)(a)-(c), 4(1)(e), 4(1)(g), 4(1)(h), 4(1)(j), 4(2)(e)(i), 33(1)(a), 33(1)(c), 48; Ind AS 21 and 115</x:v>
      </x:c>
      <x:c r="G9" s="56" t="str">
        <x:v>Rajesh Exports Limited</x:v>
      </x:c>
      <x:c r="H9" s="56" t="str">
        <x:v>Prima facie</x:v>
      </x:c>
      <x:c r="I9" s="56" t="str">
        <x:v>Interim paras 88-103; summary para 219(III); findings paras 100-103 and 222(I),(II),(IV)</x:v>
      </x:c>
      <x:c r="J9" s="56" t="str"/>
      <x:c r="K9" s="56" t="str">
        <x:v>https://www.sebi.gov.in/enforcement/orders/jun-2026/interim-order-in-the-matter-of-rajesh-exports-limited_101820.html</x:v>
      </x:c>
      <x:c r="L9" s="58"/>
    </x:row>
    <x:row r="10">
      <x:c r="A10" s="55" t="str">
        <x:v>REL-06</x:v>
      </x:c>
      <x:c r="B10" s="56" t="str">
        <x:v>Rajesh Exports Limited</x:v>
      </x:c>
      <x:c r="C10" s="56" t="str">
        <x:v>Purchases and inventory</x:v>
      </x:c>
      <x:c r="D10" s="56" t="str">
        <x:v>Purchases recorded without contemporaneous supporting evidence</x:v>
      </x:c>
      <x:c r="E10" s="56" t="str">
        <x:v>Purchases recorded against Vienna Multiventures and Harshil Enterprise lacked delivery, receipt, inventory, GST and banking support and appeared non-genuine.</x:v>
      </x:c>
      <x:c r="F10" s="56" t="str">
        <x:v>PFUTP Reg. 3(b), 3(c), 3(d), 4(1), 4(2)(e), 4(2)(f), 4(2)(k), 4(2)(r); SEBI Act s.12A(a)-(c); LODR Reg. 4(1)(c),(e),(g),(h),(j), 4(2)(e)(i)</x:v>
      </x:c>
      <x:c r="G10" s="56" t="str">
        <x:v>Rajesh Exports Limited</x:v>
      </x:c>
      <x:c r="H10" s="56" t="str">
        <x:v>Prima facie</x:v>
      </x:c>
      <x:c r="I10" s="56" t="str">
        <x:v>Interim paras 104-112; findings paras 110-112</x:v>
      </x:c>
      <x:c r="J10" s="56" t="str"/>
      <x:c r="K10" s="56" t="str">
        <x:v>https://www.sebi.gov.in/enforcement/orders/jun-2026/interim-order-in-the-matter-of-rajesh-exports-limited_101820.html</x:v>
      </x:c>
      <x:c r="L10" s="58"/>
    </x:row>
    <x:row r="11">
      <x:c r="A11" s="55" t="str">
        <x:v>REL-07</x:v>
      </x:c>
      <x:c r="B11" s="56" t="str">
        <x:v>Rajesh Exports Limited</x:v>
      </x:c>
      <x:c r="C11" s="56" t="str">
        <x:v>Consolidation</x:v>
      </x:c>
      <x:c r="D11" s="56" t="str">
        <x:v>Intra-group balances not eliminated on consolidation</x:v>
      </x:c>
      <x:c r="E11" s="56" t="str">
        <x:v>Intra-group investments and trade payables continued in consolidated statements, inflating investments and liabilities and impairing the true and fair view.</x:v>
      </x:c>
      <x:c r="F11" s="56" t="str">
        <x:v>PFUTP Reg. 3(b), 3(c), 3(d), 4(1), 4(2)(e), 4(2)(f), 4(2)(k), 4(2)(r); SEBI Act s.12A(a)-(c); LODR Reg. 4(1)(a)-(c), 4(1)(e), 4(1)(g), 4(1)(h), 4(1)(j), 4(2)(e)(i), 33(1)(a), 33(1)(c), 48; Ind AS 110</x:v>
      </x:c>
      <x:c r="G11" s="56" t="str">
        <x:v>Rajesh Exports Limited</x:v>
      </x:c>
      <x:c r="H11" s="56" t="str">
        <x:v>Prima facie</x:v>
      </x:c>
      <x:c r="I11" s="56" t="str">
        <x:v>Interim paras 113-132; summary para 219(IX); findings paras 130-132 and 222(I),(II),(IV)</x:v>
      </x:c>
      <x:c r="J11" s="56" t="str"/>
      <x:c r="K11" s="56" t="str">
        <x:v>https://www.sebi.gov.in/enforcement/orders/jun-2026/interim-order-in-the-matter-of-rajesh-exports-limited_101820.html</x:v>
      </x:c>
      <x:c r="L11" s="58"/>
    </x:row>
    <x:row r="12">
      <x:c r="A12" s="55" t="str">
        <x:v>REL-08</x:v>
      </x:c>
      <x:c r="B12" s="56" t="str">
        <x:v>Rajesh Exports Limited</x:v>
      </x:c>
      <x:c r="C12" s="56" t="str">
        <x:v>Investments</x:v>
      </x:c>
      <x:c r="D12" s="56" t="str">
        <x:v>Unverifiable claim of investment in African gold mines</x:v>
      </x:c>
      <x:c r="E12" s="56" t="str">
        <x:v>Other non-current investments described as investments in gold mines in Africa lacked identifiable entity-wise or documentary support.</x:v>
      </x:c>
      <x:c r="F12" s="56" t="str">
        <x:v>PFUTP Reg. 3(b), 3(c), 3(d), 4(1), 4(2)(e), 4(2)(f), 4(2)(k), 4(2)(r); SEBI Act s.12A(a)-(c); LODR Reg. 4(1)(a)-(c), 4(1)(e), 4(1)(g), 4(1)(h), 4(1)(j), 4(2)(e)(i), 33(1)(a), 33(1)(c), 48; Ind AS 1</x:v>
      </x:c>
      <x:c r="G12" s="56" t="str">
        <x:v>Rajesh Exports Limited</x:v>
      </x:c>
      <x:c r="H12" s="56" t="str">
        <x:v>Prima facie</x:v>
      </x:c>
      <x:c r="I12" s="56" t="str">
        <x:v>Interim paras 133-141; finding paras 139-141</x:v>
      </x:c>
      <x:c r="J12" s="56" t="str"/>
      <x:c r="K12" s="56" t="str">
        <x:v>https://www.sebi.gov.in/enforcement/orders/jun-2026/interim-order-in-the-matter-of-rajesh-exports-limited_101820.html</x:v>
      </x:c>
      <x:c r="L12" s="58"/>
    </x:row>
    <x:row r="13">
      <x:c r="A13" s="55" t="str">
        <x:v>REL-09</x:v>
      </x:c>
      <x:c r="B13" s="56" t="str">
        <x:v>Rajesh Exports Limited</x:v>
      </x:c>
      <x:c r="C13" s="56" t="str">
        <x:v>Receivables/payables</x:v>
      </x:c>
      <x:c r="D13" s="56" t="str">
        <x:v>Opaque netting of long-outstanding receivables and payables</x:v>
      </x:c>
      <x:c r="E13" s="56" t="str">
        <x:v>Trade receivables of about INR 2,914 crore were reduced through multi-party netting/knock-off arrangements without adequate basis or disclosure.</x:v>
      </x:c>
      <x:c r="F13" s="56" t="str">
        <x:v>PFUTP Reg. 3(b), 3(c), 3(d), 4(1), 4(2)(e), 4(2)(f), 4(2)(k), 4(2)(r); SEBI Act s.12A(a)-(c); LODR Reg. 4(1)(a)-(c), 4(1)(e),(g),(h),(j), 4(2)(e)(i), 33(1)(a),(c), 48; Ind AS 1, 32, 107</x:v>
      </x:c>
      <x:c r="G13" s="56" t="str">
        <x:v>Rajesh Exports Limited</x:v>
      </x:c>
      <x:c r="H13" s="56" t="str">
        <x:v>Prima facie</x:v>
      </x:c>
      <x:c r="I13" s="56" t="str">
        <x:v>Interim paras 142-159; summary para 219(X); findings paras 157-159 and 222(I),(II),(IV)</x:v>
      </x:c>
      <x:c r="J13" s="56" t="str"/>
      <x:c r="K13" s="56" t="str">
        <x:v>https://www.sebi.gov.in/enforcement/orders/jun-2026/interim-order-in-the-matter-of-rajesh-exports-limited_101820.html</x:v>
      </x:c>
      <x:c r="L13" s="58"/>
    </x:row>
    <x:row r="14">
      <x:c r="A14" s="55" t="str">
        <x:v>REL-10</x:v>
      </x:c>
      <x:c r="B14" s="56" t="str">
        <x:v>Rajesh Exports Limited</x:v>
      </x:c>
      <x:c r="C14" s="56" t="str">
        <x:v>Related parties/fund routing</x:v>
      </x:c>
      <x:c r="D14" s="56" t="str">
        <x:v>Company funds routed through promoter and family personal accounts</x:v>
      </x:c>
      <x:c r="E14" s="56" t="str">
        <x:v>Substantial corporate funds were routed through personal bank accounts of Rajesh Mehta and Siddharth Mehta, including statutory and operating payments, without adequate disclosure or approvals.</x:v>
      </x:c>
      <x:c r="F14" s="56" t="str">
        <x:v>PFUTP Reg. 3(b), 3(c), 3(d), 4(1), 4(2)(e), 4(2)(f), 4(2)(k), 4(2)(r); SEBI Act s.12A(a)-(c); LODR Reg. 23(2), 34(3) read with Schedule V; Ind AS 24</x:v>
      </x:c>
      <x:c r="G14" s="56" t="str">
        <x:v>Rajesh Exports Limited; Rajesh Mehta</x:v>
      </x:c>
      <x:c r="H14" s="56" t="str">
        <x:v>Prima facie</x:v>
      </x:c>
      <x:c r="I14" s="56" t="str">
        <x:v>Interim paras 160-181; summary para 219(XI); findings paras 177-181 and 222(I),(III),(IV)</x:v>
      </x:c>
      <x:c r="J14" s="56" t="str"/>
      <x:c r="K14" s="56" t="str">
        <x:v>https://www.sebi.gov.in/enforcement/orders/jun-2026/interim-order-in-the-matter-of-rajesh-exports-limited_101820.html</x:v>
      </x:c>
      <x:c r="L14" s="58"/>
    </x:row>
    <x:row r="15">
      <x:c r="A15" s="55" t="str">
        <x:v>REL-11</x:v>
      </x:c>
      <x:c r="B15" s="56" t="str">
        <x:v>Rajesh Exports Limited</x:v>
      </x:c>
      <x:c r="C15" s="56" t="str">
        <x:v>Diversion/misutilisation</x:v>
      </x:c>
      <x:c r="D15" s="56" t="str">
        <x:v>Transfers to promoter-controlled entities without demonstrated purpose</x:v>
      </x:c>
      <x:c r="E15" s="56" t="str">
        <x:v>Funds were transferred through opaque arrangements involving promoter-controlled entities without adequate business rationale, approval, disclosure or end-use evidence.</x:v>
      </x:c>
      <x:c r="F15" s="56" t="str">
        <x:v>PFUTP Reg. 3(b), 3(c), 3(d), 4(1), 4(2)(e), 4(2)(f), 4(2)(k), 4(2)(r); SEBI Act s.12A(a)-(c)</x:v>
      </x:c>
      <x:c r="G15" s="56" t="str">
        <x:v>Rajesh Exports Limited; Rajesh Mehta</x:v>
      </x:c>
      <x:c r="H15" s="56" t="str">
        <x:v>Prima facie</x:v>
      </x:c>
      <x:c r="I15" s="56" t="str">
        <x:v>Interim paras 182-197; finding para 197; summary paras 218-219; para 222(I),(III)</x:v>
      </x:c>
      <x:c r="J15" s="56" t="str"/>
      <x:c r="K15" s="56" t="str">
        <x:v>https://www.sebi.gov.in/enforcement/orders/jun-2026/interim-order-in-the-matter-of-rajesh-exports-limited_101820.html</x:v>
      </x:c>
      <x:c r="L15" s="58"/>
    </x:row>
    <x:row r="16">
      <x:c r="A16" s="55" t="str">
        <x:v>REL-12</x:v>
      </x:c>
      <x:c r="B16" s="56" t="str">
        <x:v>Rajesh Exports Limited</x:v>
      </x:c>
      <x:c r="C16" s="56" t="str">
        <x:v>Market nexus</x:v>
      </x:c>
      <x:c r="D16" s="56" t="str">
        <x:v>Misleading financial picture distorted price discovery and induced investors</x:v>
      </x:c>
      <x:c r="E16" s="56" t="str">
        <x:v>The cumulative manipulation and concealment allegedly created an illusion of operational growth and financial strength, interfered with price discovery and induced trading at prices not reflective of the company’s true position.</x:v>
      </x:c>
      <x:c r="F16" s="56" t="str">
        <x:v>PFUTP Reg. 3(b), 3(c), 3(d), 4(1), 4(2)(e), 4(2)(f), 4(2)(k), 4(2)(r); SEBI Act s.12A(a)-(c)</x:v>
      </x:c>
      <x:c r="G16" s="56" t="str">
        <x:v>Rajesh Exports Limited</x:v>
      </x:c>
      <x:c r="H16" s="56" t="str">
        <x:v>Prima facie</x:v>
      </x:c>
      <x:c r="I16" s="56" t="str">
        <x:v>Interim paras 198-214; overall finding paras 218-222</x:v>
      </x:c>
      <x:c r="J16" s="56" t="str"/>
      <x:c r="K16" s="56" t="str">
        <x:v>https://www.sebi.gov.in/enforcement/orders/jun-2026/interim-order-in-the-matter-of-rajesh-exports-limited_101820.html</x:v>
      </x:c>
      <x:c r="L16" s="58"/>
    </x:row>
    <x:row r="17">
      <x:c r="A17" s="55" t="str">
        <x:v>SSSL-01</x:v>
      </x:c>
      <x:c r="B17" s="56" t="str">
        <x:v>Seacoast Shipping Services Limited</x:v>
      </x:c>
      <x:c r="C17" s="56" t="str">
        <x:v>Financial statements</x:v>
      </x:c>
      <x:c r="D17" s="56" t="str">
        <x:v>Published misrepresented financial statements</x:v>
      </x:c>
      <x:c r="E17" s="56" t="str">
        <x:v>More than 85% of recorded sales and more than 98% of assets during the relevant periods were held non-genuine; statements for FY 2020-21 to FY 2022-23 and Apr-Dec 2023 were misstated.</x:v>
      </x:c>
      <x:c r="F17" s="56" t="str">
        <x:v>PFUTP Reg. 3(b), 3(c), 3(d), 4(1), 4(2)(e), 4(2)(f), 4(2)(k), 4(2)(r); SEBI Act s.12A(a)-(c); LODR Reg. 4(1)(a)-(c), 4(1)(e), 4(1)(g), 4(1)(h), 4(1)(j), 4(2)(e)(i), 33(1)(a), 33(1)(c), 48; Ind AS 1, 7 and 115; SEBI Act s.27</x:v>
      </x:c>
      <x:c r="G17" s="56" t="str">
        <x:v>Noticees 1, 2 and 3</x:v>
      </x:c>
      <x:c r="H17" s="56" t="str">
        <x:v>Upheld</x:v>
      </x:c>
      <x:c r="I17" s="56" t="str">
        <x:v>Interim paras 10-48; conclusion paras 44-48; para 156(a)-(b)</x:v>
      </x:c>
      <x:c r="J17" s="56" t="str">
        <x:v>Final paras 53-131; summary para 238(a),(c); Table 52 row 1</x:v>
      </x:c>
      <x:c r="K17" s="56" t="str"/>
      <x:c r="L17" s="58" t="str">
        <x:v>https://www.sebi.gov.in/sebi_data/attachdocs/sep-2025/final_order_sssl.pdf</x:v>
      </x:c>
    </x:row>
    <x:row r="18">
      <x:c r="A18" s="55" t="str">
        <x:v>SSSL-02</x:v>
      </x:c>
      <x:c r="B18" s="56" t="str">
        <x:v>Seacoast Shipping Services Limited</x:v>
      </x:c>
      <x:c r="C18" s="56" t="str">
        <x:v>Preferential allotment</x:v>
      </x:c>
      <x:c r="D18" s="56" t="str">
        <x:v>1.50 crore shares allotted to promoter without acquisition of promised net assets</x:v>
      </x:c>
      <x:c r="E18" s="56" t="str">
        <x:v>Shares worth INR 22.73 crore were issued to Manish Shah for purported takeover of Seacoast-HUF, but no corresponding net assets were acquired by SSSL.</x:v>
      </x:c>
      <x:c r="F18" s="56" t="str">
        <x:v>PFUTP Reg. 3(a)-(d), 4(1), 4(2)(e),(f),(k),(r); SEBI Act s.12A(a)-(c); LODR Reg. 4(1)(a)-(c), 4(1)(e), 4(1)(g), 4(1)(h), 4(1)(j), 4(2)(e)(i), 33(1)(a), 33(1)(c), 48; SEBI Act s.27</x:v>
      </x:c>
      <x:c r="G18" s="56" t="str">
        <x:v>Noticees 1, 2 and 3</x:v>
      </x:c>
      <x:c r="H18" s="56" t="str">
        <x:v>Upheld</x:v>
      </x:c>
      <x:c r="I18" s="56" t="str">
        <x:v>Interim paras 49-57</x:v>
      </x:c>
      <x:c r="J18" s="56" t="str">
        <x:v>Final paras 116-131; summary para 238(b); Table 52 row 2</x:v>
      </x:c>
      <x:c r="K18" s="56" t="str"/>
      <x:c r="L18" s="58" t="str">
        <x:v>https://www.sebi.gov.in/sebi_data/attachdocs/sep-2025/final_order_sssl.pdf</x:v>
      </x:c>
    </x:row>
    <x:row r="19">
      <x:c r="A19" s="55" t="str">
        <x:v>SSSL-03</x:v>
      </x:c>
      <x:c r="B19" s="56" t="str">
        <x:v>Seacoast Shipping Services Limited</x:v>
      </x:c>
      <x:c r="C19" s="56" t="str">
        <x:v>Preferential allotment</x:v>
      </x:c>
      <x:c r="D19" s="56" t="str">
        <x:v>0.52 crore shares allegedly allotted without effective cash consideration</x:v>
      </x:c>
      <x:c r="E19" s="56" t="str">
        <x:v>Interim order inferred circular financing of the cash allotment; final order accepted supported explanations for loans/advances and found insufficient evidence of fictitious consideration.</x:v>
      </x:c>
      <x:c r="F19" s="56" t="str">
        <x:v>PFUTP Reg. 3(a)-(d), 4(1), 4(2)(e),(f),(k),(r); SEBI Act s.12A(a)-(c); LODR Reg. 4(1)(a)-(c), 4(1)(e), 4(1)(g), 4(1)(h), 4(1)(j), 4(2)(e)(i), 33(1)(a), 33(1)(c), 48; LODR Reg. 32; SEBI Act s.27</x:v>
      </x:c>
      <x:c r="G19" s="56" t="str">
        <x:v>Noticees 1-10</x:v>
      </x:c>
      <x:c r="H19" s="56" t="str">
        <x:v>Not upheld</x:v>
      </x:c>
      <x:c r="I19" s="56" t="str">
        <x:v>Interim paras 58-83</x:v>
      </x:c>
      <x:c r="J19" s="56" t="str">
        <x:v>Final paras 132-174; summary para 238(b),(e); Table 52 rows 3 and 18</x:v>
      </x:c>
      <x:c r="K19" s="56" t="str">
        <x:v>Important negative precedent: circular bank movement alone did not establish sham consideration.</x:v>
      </x:c>
      <x:c r="L19" s="58" t="str">
        <x:v>https://www.sebi.gov.in/sebi_data/attachdocs/sep-2025/final_order_sssl.pdf</x:v>
      </x:c>
    </x:row>
    <x:row r="20">
      <x:c r="A20" s="55" t="str">
        <x:v>SSSL-04</x:v>
      </x:c>
      <x:c r="B20" s="56" t="str">
        <x:v>Seacoast Shipping Services Limited</x:v>
      </x:c>
      <x:c r="C20" s="56" t="str">
        <x:v>Diversion of funds</x:v>
      </x:c>
      <x:c r="D20" s="56" t="str">
        <x:v>Rights-issue and cash-credit funds diverted through fictitious purchases</x:v>
      </x:c>
      <x:c r="E20" s="56" t="str">
        <x:v>INR 43.42 crore of rights-issue funds and INR 10.83 crore of cash-credit funds were held diverted; intended use and supporting purchase evidence were absent.</x:v>
      </x:c>
      <x:c r="F20" s="56" t="str">
        <x:v>PFUTP Reg. 3(b), 3(c), 3(d), 4(1), 4(2)(e), 4(2)(f), 4(2)(k), 4(2)(r); SEBI Act s.12A(a)-(c); LODR Reg. 18(3) read with Schedule II and Reg. 32; SEBI Act s.27</x:v>
      </x:c>
      <x:c r="G20" s="56" t="str">
        <x:v>Noticees 1, 2 and 3</x:v>
      </x:c>
      <x:c r="H20" s="56" t="str">
        <x:v>Upheld</x:v>
      </x:c>
      <x:c r="I20" s="56" t="str">
        <x:v>Interim paras 84-98; para 156(c)</x:v>
      </x:c>
      <x:c r="J20" s="56" t="str">
        <x:v>Final paras 175-183; summary para 238(b); Table 52 row 4</x:v>
      </x:c>
      <x:c r="K20" s="56" t="str"/>
      <x:c r="L20" s="58" t="str">
        <x:v>https://www.sebi.gov.in/sebi_data/attachdocs/sep-2025/final_order_sssl.pdf</x:v>
      </x:c>
    </x:row>
    <x:row r="21">
      <x:c r="A21" s="55" t="str">
        <x:v>SSSL-05</x:v>
      </x:c>
      <x:c r="B21" s="56" t="str">
        <x:v>Seacoast Shipping Services Limited</x:v>
      </x:c>
      <x:c r="C21" s="56" t="str">
        <x:v>Annual report</x:v>
      </x:c>
      <x:c r="D21" s="56" t="str">
        <x:v>Incomplete annual report and false statement regarding audit qualifications</x:v>
      </x:c>
      <x:c r="E21" s="56" t="str">
        <x:v>RPT disclosures and Statements on Impact of Audit Qualifications were omitted, while the director’s report stated there were no audit qualifications.</x:v>
      </x:c>
      <x:c r="F21" s="56" t="str">
        <x:v>PFUTP Reg. 4(2)(f),(k),(r); LODR Reg. 4(1)(c), 33(3)(d), 34(2)(a), 34(3) read with Schedule V; SEBI Act s.27</x:v>
      </x:c>
      <x:c r="G21" s="56" t="str">
        <x:v>Noticees 1, 2 and 3</x:v>
      </x:c>
      <x:c r="H21" s="56" t="str">
        <x:v>Upheld</x:v>
      </x:c>
      <x:c r="I21" s="56" t="str">
        <x:v>Interim paras 99-101</x:v>
      </x:c>
      <x:c r="J21" s="56" t="str">
        <x:v>Final paras 185-189; Table 52 row 5</x:v>
      </x:c>
      <x:c r="K21" s="56" t="str"/>
      <x:c r="L21" s="58" t="str">
        <x:v>https://www.sebi.gov.in/sebi_data/attachdocs/sep-2025/final_order_sssl.pdf</x:v>
      </x:c>
    </x:row>
    <x:row r="22">
      <x:c r="A22" s="55" t="str">
        <x:v>SSSL-06</x:v>
      </x:c>
      <x:c r="B22" s="56" t="str">
        <x:v>Seacoast Shipping Services Limited</x:v>
      </x:c>
      <x:c r="C22" s="56" t="str">
        <x:v>Business disclosure</x:v>
      </x:c>
      <x:c r="D22" s="56" t="str">
        <x:v>False description of business segment</x:v>
      </x:c>
      <x:c r="E22" s="56" t="str">
        <x:v>The company showed agro transactions but continued disclosing only ship-hiring/operating as its reportable business segment.</x:v>
      </x:c>
      <x:c r="F22" s="56" t="str">
        <x:v>PFUTP Reg. 4(2)(f),(k),(r); LODR Reg. 4(1)(c); SEBI Act s.27</x:v>
      </x:c>
      <x:c r="G22" s="56" t="str">
        <x:v>Noticees 1, 2 and 3</x:v>
      </x:c>
      <x:c r="H22" s="56" t="str">
        <x:v>Upheld</x:v>
      </x:c>
      <x:c r="I22" s="56" t="str">
        <x:v>Interim paras 102-104</x:v>
      </x:c>
      <x:c r="J22" s="56" t="str">
        <x:v>Final paras 190-194; Table 52 row 6</x:v>
      </x:c>
      <x:c r="K22" s="56" t="str"/>
      <x:c r="L22" s="58" t="str">
        <x:v>https://www.sebi.gov.in/sebi_data/attachdocs/sep-2025/final_order_sssl.pdf</x:v>
      </x:c>
    </x:row>
    <x:row r="23">
      <x:c r="A23" s="55" t="str">
        <x:v>SSSL-07</x:v>
      </x:c>
      <x:c r="B23" s="56" t="str">
        <x:v>Seacoast Shipping Services Limited</x:v>
      </x:c>
      <x:c r="C23" s="56" t="str">
        <x:v>Corporate announcement</x:v>
      </x:c>
      <x:c r="D23" s="56" t="str">
        <x:v>Unsupported Starchart acquisition/turnover announcement</x:v>
      </x:c>
      <x:c r="E23" s="56" t="str">
        <x:v>SSSL announced an intended takeover and projected INR 500-600 crore turnover without a demonstrated basis and did not properly disclose cancellation.</x:v>
      </x:c>
      <x:c r="F23" s="56" t="str">
        <x:v>PFUTP Reg. 4(2)(f),(k),(r); LODR Reg. 4(1)(c); SEBI Act s.27</x:v>
      </x:c>
      <x:c r="G23" s="56" t="str">
        <x:v>Noticees 1, 2 and 3</x:v>
      </x:c>
      <x:c r="H23" s="56" t="str">
        <x:v>Upheld</x:v>
      </x:c>
      <x:c r="I23" s="56" t="str">
        <x:v>Interim paras 105-108</x:v>
      </x:c>
      <x:c r="J23" s="56" t="str">
        <x:v>Final paras 195-201; Table 52 row 7</x:v>
      </x:c>
      <x:c r="K23" s="56" t="str"/>
      <x:c r="L23" s="58" t="str">
        <x:v>https://www.sebi.gov.in/sebi_data/attachdocs/sep-2025/final_order_sssl.pdf</x:v>
      </x:c>
    </x:row>
    <x:row r="24">
      <x:c r="A24" s="55" t="str">
        <x:v>SSSL-08</x:v>
      </x:c>
      <x:c r="B24" s="56" t="str">
        <x:v>Seacoast Shipping Services Limited</x:v>
      </x:c>
      <x:c r="C24" s="56" t="str">
        <x:v>Related-party disclosure</x:v>
      </x:c>
      <x:c r="D24" s="56" t="str">
        <x:v>Misrepresented RPT with Seacoast-HUF</x:v>
      </x:c>
      <x:c r="E24" s="56" t="str">
        <x:v>Sales and purchases were disclosed as RPTs with Seacoast-HUF although registers did not evidence such transactions and takeover accounting differed.</x:v>
      </x:c>
      <x:c r="F24" s="56" t="str">
        <x:v>LODR Reg. 4(1)(a),(b), 4(2)(e)(i), 34(3) read with Schedule V, 48; Ind AS 24 para 18; SEBI Act s.27</x:v>
      </x:c>
      <x:c r="G24" s="56" t="str">
        <x:v>Noticees 1, 2 and 3</x:v>
      </x:c>
      <x:c r="H24" s="56" t="str">
        <x:v>Upheld</x:v>
      </x:c>
      <x:c r="I24" s="56" t="str">
        <x:v>Interim paras 109-110</x:v>
      </x:c>
      <x:c r="J24" s="56" t="str">
        <x:v>Final paras 202-204; Table 52 row 8</x:v>
      </x:c>
      <x:c r="K24" s="56" t="str"/>
      <x:c r="L24" s="58" t="str">
        <x:v>https://www.sebi.gov.in/sebi_data/attachdocs/sep-2025/final_order_sssl.pdf</x:v>
      </x:c>
    </x:row>
    <x:row r="25">
      <x:c r="A25" s="55" t="str">
        <x:v>SSSL-09</x:v>
      </x:c>
      <x:c r="B25" s="56" t="str">
        <x:v>Seacoast Shipping Services Limited</x:v>
      </x:c>
      <x:c r="C25" s="56" t="str">
        <x:v>Audit committee</x:v>
      </x:c>
      <x:c r="D25" s="56" t="str">
        <x:v>Improper constitution of Audit Committee</x:v>
      </x:c>
      <x:c r="E25" s="56" t="str">
        <x:v>A material customer/vendor was treated as independent director and appointed Audit Committee chair despite ineligibility.</x:v>
      </x:c>
      <x:c r="F25" s="56" t="str">
        <x:v>PFUTP Reg. 4(2)(f),(k),(r); LODR Reg. 4(1)(c), 18(1)(d) read with 16(1)(b); SEBI Act s.27</x:v>
      </x:c>
      <x:c r="G25" s="56" t="str">
        <x:v>Noticees 1, 2 and 3</x:v>
      </x:c>
      <x:c r="H25" s="56" t="str">
        <x:v>Upheld</x:v>
      </x:c>
      <x:c r="I25" s="56" t="str">
        <x:v>Interim paras 111-115</x:v>
      </x:c>
      <x:c r="J25" s="56" t="str">
        <x:v>Final paras 205-210; Table 52 row 9</x:v>
      </x:c>
      <x:c r="K25" s="56" t="str"/>
      <x:c r="L25" s="58" t="str">
        <x:v>https://www.sebi.gov.in/sebi_data/attachdocs/sep-2025/final_order_sssl.pdf</x:v>
      </x:c>
    </x:row>
    <x:row r="26">
      <x:c r="A26" s="55" t="str">
        <x:v>SSSL-10</x:v>
      </x:c>
      <x:c r="B26" s="56" t="str">
        <x:v>Seacoast Shipping Services Limited</x:v>
      </x:c>
      <x:c r="C26" s="56" t="str">
        <x:v>Audit committee</x:v>
      </x:c>
      <x:c r="D26" s="56" t="str">
        <x:v>Audit Committee meetings disclosed but not held</x:v>
      </x:c>
      <x:c r="E26" s="56" t="str">
        <x:v>Annual reports claimed 20 meetings, but members denied attendance/knowledge and the company failed to produce agendas or minutes; RPT approvals consequently lacked proof.</x:v>
      </x:c>
      <x:c r="F26" s="56" t="str">
        <x:v>PFUTP Reg. 4(2)(f),(k),(r); LODR Reg. 4(1)(c), 18(2), 23(2); SEBI Act s.27</x:v>
      </x:c>
      <x:c r="G26" s="56" t="str">
        <x:v>Noticees 1, 2 and 3</x:v>
      </x:c>
      <x:c r="H26" s="56" t="str">
        <x:v>Upheld</x:v>
      </x:c>
      <x:c r="I26" s="56" t="str">
        <x:v>Interim paras 116-119</x:v>
      </x:c>
      <x:c r="J26" s="56" t="str">
        <x:v>Final paras 211-217; Table 52 row 10</x:v>
      </x:c>
      <x:c r="K26" s="56" t="str"/>
      <x:c r="L26" s="58" t="str">
        <x:v>https://www.sebi.gov.in/sebi_data/attachdocs/sep-2025/final_order_sssl.pdf</x:v>
      </x:c>
    </x:row>
    <x:row r="27">
      <x:c r="A27" s="55" t="str">
        <x:v>SSSL-11</x:v>
      </x:c>
      <x:c r="B27" s="56" t="str">
        <x:v>Seacoast Shipping Services Limited</x:v>
      </x:c>
      <x:c r="C27" s="56" t="str">
        <x:v>Compliance officer</x:v>
      </x:c>
      <x:c r="D27" s="56" t="str">
        <x:v>Unqualified appointment and delayed filling of vacancy</x:v>
      </x:c>
      <x:c r="E27" s="56" t="str">
        <x:v>A non-company-secretary served as Compliance Officer and a later vacancy remained unfilled beyond the permitted period.</x:v>
      </x:c>
      <x:c r="F27" s="56" t="str">
        <x:v>LODR Reg. 6(1), 6(1A); SEBI Act s.27</x:v>
      </x:c>
      <x:c r="G27" s="56" t="str">
        <x:v>Noticees 1, 2 and 3</x:v>
      </x:c>
      <x:c r="H27" s="56" t="str">
        <x:v>Upheld</x:v>
      </x:c>
      <x:c r="I27" s="56" t="str">
        <x:v>Interim paras 120-121</x:v>
      </x:c>
      <x:c r="J27" s="56" t="str">
        <x:v>Final paras 218-220; Table 52 row 11</x:v>
      </x:c>
      <x:c r="K27" s="56" t="str"/>
      <x:c r="L27" s="58" t="str">
        <x:v>https://www.sebi.gov.in/sebi_data/attachdocs/sep-2025/final_order_sssl.pdf</x:v>
      </x:c>
    </x:row>
    <x:row r="28">
      <x:c r="A28" s="55" t="str">
        <x:v>SSSL-12</x:v>
      </x:c>
      <x:c r="B28" s="56" t="str">
        <x:v>Seacoast Shipping Services Limited</x:v>
      </x:c>
      <x:c r="C28" s="56" t="str">
        <x:v>Management liability</x:v>
      </x:c>
      <x:c r="D28" s="56" t="str">
        <x:v>Managing Director’s pivotal role in overall fraud</x:v>
      </x:c>
      <x:c r="E28" s="56" t="str">
        <x:v>Manish Shah held multiple controlling roles, signed filings/certificates and was held responsible for the company’s misstatements, diversion and governance failures, except the cash preferential-allotment allegation.</x:v>
      </x:c>
      <x:c r="F28" s="56" t="str">
        <x:v>PFUTP Reg. 3(b), 3(c), 3(d), 4(1), 4(2)(e), 4(2)(f), 4(2)(k), 4(2)(r); SEBI Act s.12A(a)-(c); SEBI Act s.27; multiple LODR provisions listed in final para 222(viii)</x:v>
      </x:c>
      <x:c r="G28" s="56" t="str">
        <x:v>Noticee 2</x:v>
      </x:c>
      <x:c r="H28" s="56" t="str">
        <x:v>Partly upheld</x:v>
      </x:c>
      <x:c r="I28" s="56" t="str">
        <x:v>Interim paras 122-126</x:v>
      </x:c>
      <x:c r="J28" s="56" t="str">
        <x:v>Final para 222; Table 52 row 12</x:v>
      </x:c>
      <x:c r="K28" s="56" t="str">
        <x:v>Excluded only to the extent of the allegation in SSSL-03.</x:v>
      </x:c>
      <x:c r="L28" s="58" t="str">
        <x:v>https://www.sebi.gov.in/sebi_data/attachdocs/sep-2025/final_order_sssl.pdf</x:v>
      </x:c>
    </x:row>
    <x:row r="29">
      <x:c r="A29" s="55" t="str">
        <x:v>SSSL-13</x:v>
      </x:c>
      <x:c r="B29" s="56" t="str">
        <x:v>Seacoast Shipping Services Limited</x:v>
      </x:c>
      <x:c r="C29" s="56" t="str">
        <x:v>Promoter benefit</x:v>
      </x:c>
      <x:c r="D29" s="56" t="str">
        <x:v>Promoter allotted himself shares without consideration</x:v>
      </x:c>
      <x:c r="E29" s="56" t="str">
        <x:v>Manish Shah obtained shares worth INR 22.73 crore without transferring the stated net assets to SSSL.</x:v>
      </x:c>
      <x:c r="F29" s="56" t="str">
        <x:v>PFUTP Reg. 3(a)-(d), 4(1); SEBI Act s.12A(a)-(c)</x:v>
      </x:c>
      <x:c r="G29" s="56" t="str">
        <x:v>Noticee 2</x:v>
      </x:c>
      <x:c r="H29" s="56" t="str">
        <x:v>Upheld</x:v>
      </x:c>
      <x:c r="I29" s="56" t="str">
        <x:v>Interim paras 56-57</x:v>
      </x:c>
      <x:c r="J29" s="56" t="str">
        <x:v>Final paras 116-131; Table 52 row 13</x:v>
      </x:c>
      <x:c r="K29" s="56" t="str"/>
      <x:c r="L29" s="58" t="str">
        <x:v>https://www.sebi.gov.in/sebi_data/attachdocs/sep-2025/final_order_sssl.pdf</x:v>
      </x:c>
    </x:row>
    <x:row r="30">
      <x:c r="A30" s="55" t="str">
        <x:v>SSSL-14</x:v>
      </x:c>
      <x:c r="B30" s="56" t="str">
        <x:v>Seacoast Shipping Services Limited</x:v>
      </x:c>
      <x:c r="C30" s="56" t="str">
        <x:v>Director duties</x:v>
      </x:c>
      <x:c r="D30" s="56" t="str">
        <x:v>Managing and executive directors failed their board responsibilities</x:v>
      </x:c>
      <x:c r="E30" s="56" t="str">
        <x:v>The managing and executive directors were held responsible for failures of operational transparency, conflict monitoring, misuse of corporate assets and RPT governance.</x:v>
      </x:c>
      <x:c r="F30" s="56" t="str">
        <x:v>LODR Reg. 4(2)(f)(i)(2), 4(2)(f)(ii)(2),(6),(7), 4(2)(f)(iii)(6),(7)</x:v>
      </x:c>
      <x:c r="G30" s="56" t="str">
        <x:v>Noticees 2 and 3</x:v>
      </x:c>
      <x:c r="H30" s="56" t="str">
        <x:v>Upheld</x:v>
      </x:c>
      <x:c r="I30" s="56" t="str">
        <x:v>Interim paras 123-130</x:v>
      </x:c>
      <x:c r="J30" s="56" t="str">
        <x:v>Final paras 222-223; Table 52 row 14</x:v>
      </x:c>
      <x:c r="K30" s="56" t="str"/>
      <x:c r="L30" s="58" t="str">
        <x:v>https://www.sebi.gov.in/sebi_data/attachdocs/sep-2025/final_order_sssl.pdf</x:v>
      </x:c>
    </x:row>
    <x:row r="31">
      <x:c r="A31" s="55" t="str">
        <x:v>SSSL-15</x:v>
      </x:c>
      <x:c r="B31" s="56" t="str">
        <x:v>Seacoast Shipping Services Limited</x:v>
      </x:c>
      <x:c r="C31" s="56" t="str">
        <x:v>Audit committee duties</x:v>
      </x:c>
      <x:c r="D31" s="56" t="str">
        <x:v>Board/Audit Committee gross negligence</x:v>
      </x:c>
      <x:c r="E31" s="56" t="str">
        <x:v>A director and Audit Committee member failed to supervise financial reporting, disclosures and use of issue proceeds.</x:v>
      </x:c>
      <x:c r="F31" s="56" t="str">
        <x:v>LODR Reg. 18(3) read with Para A, Part C, Schedule II</x:v>
      </x:c>
      <x:c r="G31" s="56" t="str">
        <x:v>Noticee 2</x:v>
      </x:c>
      <x:c r="H31" s="56" t="str">
        <x:v>Upheld</x:v>
      </x:c>
      <x:c r="I31" s="56" t="str">
        <x:v>Interim paras 123-126</x:v>
      </x:c>
      <x:c r="J31" s="56" t="str">
        <x:v>Final para 222(vi); Table 52 row 15</x:v>
      </x:c>
      <x:c r="K31" s="56" t="str"/>
      <x:c r="L31" s="58" t="str">
        <x:v>https://www.sebi.gov.in/sebi_data/attachdocs/sep-2025/final_order_sssl.pdf</x:v>
      </x:c>
    </x:row>
    <x:row r="32">
      <x:c r="A32" s="55" t="str">
        <x:v>SSSL-16</x:v>
      </x:c>
      <x:c r="B32" s="56" t="str">
        <x:v>Seacoast Shipping Services Limited</x:v>
      </x:c>
      <x:c r="C32" s="56" t="str">
        <x:v>Certification</x:v>
      </x:c>
      <x:c r="D32" s="56" t="str">
        <x:v>False compliance certificate to the board</x:v>
      </x:c>
      <x:c r="E32" s="56" t="str">
        <x:v>The MD signed the Regulation 17(8) certificate despite financial statements not presenting a true and fair view.</x:v>
      </x:c>
      <x:c r="F32" s="56" t="str">
        <x:v>LODR Reg. 17(8)</x:v>
      </x:c>
      <x:c r="G32" s="56" t="str">
        <x:v>Noticee 2</x:v>
      </x:c>
      <x:c r="H32" s="56" t="str">
        <x:v>Upheld</x:v>
      </x:c>
      <x:c r="I32" s="56" t="str">
        <x:v>Interim para 123</x:v>
      </x:c>
      <x:c r="J32" s="56" t="str">
        <x:v>Final para 222(iii); Table 52 row 16</x:v>
      </x:c>
      <x:c r="K32" s="56" t="str"/>
      <x:c r="L32" s="58" t="str">
        <x:v>https://www.sebi.gov.in/sebi_data/attachdocs/sep-2025/final_order_sssl.pdf</x:v>
      </x:c>
    </x:row>
    <x:row r="33">
      <x:c r="A33" s="55" t="str">
        <x:v>SSSL-17</x:v>
      </x:c>
      <x:c r="B33" s="56" t="str">
        <x:v>Seacoast Shipping Services Limited</x:v>
      </x:c>
      <x:c r="C33" s="56" t="str">
        <x:v>Aiding and abetting</x:v>
      </x:c>
      <x:c r="D33" s="56" t="str">
        <x:v>Executive Director aided the overall scheme</x:v>
      </x:c>
      <x:c r="E33" s="56" t="str">
        <x:v>Sameer Shah was found to have aided and abetted Manish Shah in financial misrepresentation, the sham promoter allotment, fund diversion and governance failures.</x:v>
      </x:c>
      <x:c r="F33" s="56" t="str">
        <x:v>PFUTP Reg. 3(b), 3(c), 3(d), 4(1), 4(2)(e), 4(2)(f), 4(2)(k), 4(2)(r); SEBI Act s.12A(a)-(c)</x:v>
      </x:c>
      <x:c r="G33" s="56" t="str">
        <x:v>Noticee 3</x:v>
      </x:c>
      <x:c r="H33" s="56" t="str">
        <x:v>Upheld</x:v>
      </x:c>
      <x:c r="I33" s="56" t="str">
        <x:v>Interim paras 127-130</x:v>
      </x:c>
      <x:c r="J33" s="56" t="str">
        <x:v>Final para 223; Table 52 row 17</x:v>
      </x:c>
      <x:c r="K33" s="56" t="str"/>
      <x:c r="L33" s="58" t="str">
        <x:v>https://www.sebi.gov.in/sebi_data/attachdocs/sep-2025/final_order_sssl.pdf</x:v>
      </x:c>
    </x:row>
    <x:row r="34">
      <x:c r="A34" s="55" t="str">
        <x:v>SSSL-18</x:v>
      </x:c>
      <x:c r="B34" s="56" t="str">
        <x:v>Seacoast Shipping Services Limited</x:v>
      </x:c>
      <x:c r="C34" s="56" t="str">
        <x:v>Preferential allottees</x:v>
      </x:c>
      <x:c r="D34" s="56" t="str">
        <x:v>Non-promoter allottees allegedly participated without effective consideration</x:v>
      </x:c>
      <x:c r="E34" s="56" t="str">
        <x:v>The evidence did not establish that the allottees used SSSL’s own money or that their sale proceeds returned to SSSL/Manish Shah.</x:v>
      </x:c>
      <x:c r="F34" s="56" t="str">
        <x:v>PFUTP Reg. 3(a)-(d), 4(1), 4(2)(e),(f),(k),(r); SEBI Act s.12A(a)-(c)</x:v>
      </x:c>
      <x:c r="G34" s="56" t="str">
        <x:v>Noticees 4-10</x:v>
      </x:c>
      <x:c r="H34" s="56" t="str">
        <x:v>Not upheld</x:v>
      </x:c>
      <x:c r="I34" s="56" t="str">
        <x:v>Interim paras 58-83</x:v>
      </x:c>
      <x:c r="J34" s="56" t="str">
        <x:v>Final paras 132-174; summary para 238(e); Table 52 row 18</x:v>
      </x:c>
      <x:c r="K34" s="56" t="str">
        <x:v>Exonerated; interim impounding directions vacated.</x:v>
      </x:c>
      <x:c r="L34" s="58" t="str">
        <x:v>https://www.sebi.gov.in/sebi_data/attachdocs/sep-2025/final_order_sssl.pdf</x:v>
      </x:c>
    </x:row>
    <x:row r="35">
      <x:c r="A35" s="55" t="str">
        <x:v>SSSL-19</x:v>
      </x:c>
      <x:c r="B35" s="56" t="str">
        <x:v>Seacoast Shipping Services Limited</x:v>
      </x:c>
      <x:c r="C35" s="56" t="str">
        <x:v>Director/Audit Committee duties</x:v>
      </x:c>
      <x:c r="D35" s="56" t="str">
        <x:v>Director and Audit Committee member showed gross negligence</x:v>
      </x:c>
      <x:c r="E35" s="56" t="str">
        <x:v>Failure to question non-convening of Audit Committee meetings and discharge board/committee duties.</x:v>
      </x:c>
      <x:c r="F35" s="56" t="str">
        <x:v>LODR Reg. 4(2)(f)(i)(2), 4(2)(f)(ii)(2),(6),(7),(8), 18(3) read with Schedule II</x:v>
      </x:c>
      <x:c r="G35" s="56" t="str">
        <x:v>Noticee 11</x:v>
      </x:c>
      <x:c r="H35" s="56" t="str">
        <x:v>Upheld</x:v>
      </x:c>
      <x:c r="I35" s="56" t="str">
        <x:v>Interim paras 134-138</x:v>
      </x:c>
      <x:c r="J35" s="56" t="str">
        <x:v>Final paras 224-235; Table 52 row 19</x:v>
      </x:c>
      <x:c r="K35" s="56" t="str"/>
      <x:c r="L35" s="58" t="str">
        <x:v>https://www.sebi.gov.in/sebi_data/attachdocs/sep-2025/final_order_sssl.pdf</x:v>
      </x:c>
    </x:row>
    <x:row r="36">
      <x:c r="A36" s="55" t="str">
        <x:v>SSSL-20</x:v>
      </x:c>
      <x:c r="B36" s="56" t="str">
        <x:v>Seacoast Shipping Services Limited</x:v>
      </x:c>
      <x:c r="C36" s="56" t="str">
        <x:v>Independent-director duties</x:v>
      </x:c>
      <x:c r="D36" s="56" t="str">
        <x:v>Directors/Audit Committee members showed gross negligence</x:v>
      </x:c>
      <x:c r="E36" s="56" t="str">
        <x:v>Directors failed to raise concerns regarding non-convening of Audit Committee meetings and widespread financial/governance failures.</x:v>
      </x:c>
      <x:c r="F36" s="56" t="str">
        <x:v>LODR Reg. 4(2)(f)(i)(2), 4(2)(f)(ii)(2),(6),(7),(8), 18(3) read with Schedule II</x:v>
      </x:c>
      <x:c r="G36" s="56" t="str">
        <x:v>Noticees 12, 14, 15, 16 and 17</x:v>
      </x:c>
      <x:c r="H36" s="56" t="str">
        <x:v>Upheld</x:v>
      </x:c>
      <x:c r="I36" s="56" t="str">
        <x:v>Interim paras 134-138</x:v>
      </x:c>
      <x:c r="J36" s="56" t="str">
        <x:v>Final paras 224-235; summary para 238(f); Table 52 row 20</x:v>
      </x:c>
      <x:c r="K36" s="56" t="str"/>
      <x:c r="L36" s="58" t="str">
        <x:v>https://www.sebi.gov.in/sebi_data/attachdocs/sep-2025/final_order_sssl.pdf</x:v>
      </x:c>
    </x:row>
    <x:row r="37">
      <x:c r="A37" s="55" t="str">
        <x:v>SSSL-21</x:v>
      </x:c>
      <x:c r="B37" s="56" t="str">
        <x:v>Seacoast Shipping Services Limited</x:v>
      </x:c>
      <x:c r="C37" s="56" t="str">
        <x:v>Independent-director duties</x:v>
      </x:c>
      <x:c r="D37" s="56" t="str">
        <x:v>Independent Director failed basic duties during widespread misstatements</x:v>
      </x:c>
      <x:c r="E37" s="56" t="str">
        <x:v>The independent director failed to exercise duties expected during the period of pervasive financial misrepresentation.</x:v>
      </x:c>
      <x:c r="F37" s="56" t="str">
        <x:v>LODR Reg. 4(2)(f)(i)(2), 4(2)(f)(ii)(2),(6),(7),(8)</x:v>
      </x:c>
      <x:c r="G37" s="56" t="str">
        <x:v>Noticee 18</x:v>
      </x:c>
      <x:c r="H37" s="56" t="str">
        <x:v>Upheld</x:v>
      </x:c>
      <x:c r="I37" s="56" t="str">
        <x:v>Interim paras 131-133</x:v>
      </x:c>
      <x:c r="J37" s="56" t="str">
        <x:v>Final paras 224-235; summary para 238(g); Table 52 row 21</x:v>
      </x:c>
      <x:c r="K37" s="56" t="str"/>
      <x:c r="L37" s="58" t="str">
        <x:v>https://www.sebi.gov.in/sebi_data/attachdocs/sep-2025/final_order_sssl.pdf</x:v>
      </x:c>
    </x:row>
    <x:row r="38">
      <x:c r="A38" s="59" t="str">
        <x:v>SSSL-22</x:v>
      </x:c>
      <x:c r="B38" s="60" t="str">
        <x:v>Seacoast Shipping Services Limited</x:v>
      </x:c>
      <x:c r="C38" s="60" t="str">
        <x:v>Compliance officer duties</x:v>
      </x:c>
      <x:c r="D38" s="60" t="str">
        <x:v>Compliance Officers failed to ensure Audit Committee compliance</x:v>
      </x:c>
      <x:c r="E38" s="60" t="str">
        <x:v>Compliance Officers did not ensure/convene Audit Committee meetings or discharge compliance obligations during their respective tenures.</x:v>
      </x:c>
      <x:c r="F38" s="60" t="str">
        <x:v>LODR Reg. 6(2)(a), 6(2)(c)</x:v>
      </x:c>
      <x:c r="G38" s="60" t="str">
        <x:v>Noticees 19-22</x:v>
      </x:c>
      <x:c r="H38" s="60" t="str">
        <x:v>Upheld</x:v>
      </x:c>
      <x:c r="I38" s="60" t="str">
        <x:v>Interim paras 139-140</x:v>
      </x:c>
      <x:c r="J38" s="60" t="str">
        <x:v>Final paras 236-237; summary para 238(h); Table 52 row 22</x:v>
      </x:c>
      <x:c r="K38" s="60" t="str"/>
      <x:c r="L38" s="62" t="str">
        <x:v>https://www.sebi.gov.in/sebi_data/attachdocs/sep-2025/final_order_sssl.pdf</x:v>
      </x:c>
    </x:row>
  </x:sheetData>
  <x:mergeCells>
    <x:mergeCell ref="A1:L1"/>
    <x:mergeCell ref="A2:L2"/>
  </x:mergeCells>
  <x:conditionalFormatting sqref="H5:H38">
    <x:cfRule type="containsText" dxfId="0" priority="1" operator="containsText" text="Upheld"/>
    <x:cfRule type="containsText" dxfId="1" priority="2" operator="containsText" text="Not upheld"/>
    <x:cfRule type="containsText" dxfId="2" priority="3" operator="containsText" text="Partly"/>
    <x:cfRule type="containsText" dxfId="3" priority="4" operator="containsText" text="Prima facie"/>
  </x:conditionalFormatting>
  <x:pageMargins left="0.7" right="0.7" top="0.75" bottom="0.75" header="0.3" footer="0.3"/>
  <x:tableParts count="1">
    <x:tablePart xmlns:r="http://schemas.openxmlformats.org/officeDocument/2006/relationships" r:id="R78b90524ac714bf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20" hidden="0" customWidth="1"/>
    <x:col min="3" max="3" width="48" hidden="0" customWidth="1"/>
    <x:col min="4" max="4" width="22" hidden="0" customWidth="1"/>
    <x:col min="5" max="5" width="65" hidden="0" customWidth="1"/>
    <x:col min="6" max="6" width="45" hidden="0" customWidth="1"/>
    <x:col min="7" max="7" width="52" hidden="0" customWidth="1"/>
  </x:cols>
  <x:sheetData>
    <x:row r="1" ht="32" customHeight="1">
      <x:c r="A1" s="40" t="str">
        <x:v>PFUTP Regulation 4(2)(e) - Scenario Index</x:v>
      </x:c>
      <x:c r="B1" s="40"/>
      <x:c r="C1" s="40"/>
      <x:c r="D1" s="40"/>
      <x:c r="E1" s="40"/>
      <x:c r="F1" s="40"/>
      <x:c r="G1" s="40"/>
    </x:row>
    <x:row r="2" ht="34" customHeight="1">
      <x:c r="A2" s="41" t="str">
        <x:v>Focused answer to the pilot question: factual settings in which price-manipulation allegations were considered, including contrary outcomes.</x:v>
      </x:c>
      <x:c r="B2" s="41"/>
      <x:c r="C2" s="41"/>
      <x:c r="D2" s="41"/>
      <x:c r="E2" s="41"/>
      <x:c r="F2" s="41"/>
      <x:c r="G2" s="41"/>
    </x:row>
    <x:row r="3">
      <x:c r="A3" s="42"/>
      <x:c r="B3" s="42"/>
      <x:c r="C3" s="42"/>
      <x:c r="D3" s="42"/>
      <x:c r="E3" s="42"/>
      <x:c r="F3" s="42"/>
      <x:c r="G3" s="42"/>
    </x:row>
    <x:row r="4" ht="30" customHeight="1">
      <x:c r="A4" s="43" t="str">
        <x:v>Case</x:v>
      </x:c>
      <x:c r="B4" s="50" t="str">
        <x:v>Order stage</x:v>
      </x:c>
      <x:c r="C4" s="50" t="str">
        <x:v>Scenario</x:v>
      </x:c>
      <x:c r="D4" s="50" t="str">
        <x:v>Finding on PFUTP 4(2)(e)</x:v>
      </x:c>
      <x:c r="E4" s="50" t="str">
        <x:v>Reasoning / evidentiary link</x:v>
      </x:c>
      <x:c r="F4" s="50" t="str">
        <x:v>Paragraph references</x:v>
      </x:c>
      <x:c r="G4" s="44" t="str">
        <x:v>Official SEBI source</x:v>
      </x:c>
    </x:row>
    <x:row r="5">
      <x:c r="A5" s="51" t="str">
        <x:v>Rajesh Exports Limited</x:v>
      </x:c>
      <x:c r="B5" s="52" t="str">
        <x:v>Interim</x:v>
      </x:c>
      <x:c r="C5" s="52" t="str">
        <x:v>Unsupported consolidated revenue and subsidiary operations</x:v>
      </x:c>
      <x:c r="D5" s="52" t="str">
        <x:v>Prima facie violated</x:v>
      </x:c>
      <x:c r="E5" s="52" t="str">
        <x:v>Manipulated financial statements portrayed inflated operational scale; the order linked this to investor inducement and distorted price discovery.</x:v>
      </x:c>
      <x:c r="F5" s="52" t="str">
        <x:v>Paras 28-53, 198-214 and 222(I)</x:v>
      </x:c>
      <x:c r="G5" s="54" t="str">
        <x:v>https://www.sebi.gov.in/enforcement/orders/jun-2026/interim-order-in-the-matter-of-rajesh-exports-limited_101820.html</x:v>
      </x:c>
    </x:row>
    <x:row r="6">
      <x:c r="A6" s="55" t="str">
        <x:v>Rajesh Exports Limited</x:v>
      </x:c>
      <x:c r="B6" s="56" t="str">
        <x:v>Interim</x:v>
      </x:c>
      <x:c r="C6" s="56" t="str">
        <x:v>Promoter’s personal derivative trades booked as company revenue/purchases</x:v>
      </x:c>
      <x:c r="D6" s="56" t="str">
        <x:v>Prima facie violated</x:v>
      </x:c>
      <x:c r="E6" s="56" t="str">
        <x:v>Non-genuine accounting entries materially inflated standalone revenue and were disseminated to the market.</x:v>
      </x:c>
      <x:c r="F6" s="56" t="str">
        <x:v>Paras 67-87, 198-214 and 222(I)</x:v>
      </x:c>
      <x:c r="G6" s="58" t="str">
        <x:v>https://www.sebi.gov.in/enforcement/orders/jun-2026/interim-order-in-the-matter-of-rajesh-exports-limited_101820.html</x:v>
      </x:c>
    </x:row>
    <x:row r="7">
      <x:c r="A7" s="55" t="str">
        <x:v>Rajesh Exports Limited</x:v>
      </x:c>
      <x:c r="B7" s="56" t="str">
        <x:v>Interim</x:v>
      </x:c>
      <x:c r="C7" s="56" t="str">
        <x:v>Foreign-exchange differences and investment interest classified as operating revenue</x:v>
      </x:c>
      <x:c r="D7" s="56" t="str">
        <x:v>Prima facie violated</x:v>
      </x:c>
      <x:c r="E7" s="56" t="str">
        <x:v>Improper classifications inflated operating performance and contributed to a misleading financial picture.</x:v>
      </x:c>
      <x:c r="F7" s="56" t="str">
        <x:v>Paras 88-103, 198-214 and 222(I)</x:v>
      </x:c>
      <x:c r="G7" s="58" t="str">
        <x:v>https://www.sebi.gov.in/enforcement/orders/jun-2026/interim-order-in-the-matter-of-rajesh-exports-limited_101820.html</x:v>
      </x:c>
    </x:row>
    <x:row r="8">
      <x:c r="A8" s="55" t="str">
        <x:v>Rajesh Exports Limited</x:v>
      </x:c>
      <x:c r="B8" s="56" t="str">
        <x:v>Interim</x:v>
      </x:c>
      <x:c r="C8" s="56" t="str">
        <x:v>Unsupported purchases from Vienna and Harshil</x:v>
      </x:c>
      <x:c r="D8" s="56" t="str">
        <x:v>Prima facie violated</x:v>
      </x:c>
      <x:c r="E8" s="56" t="str">
        <x:v>Transactions lacked contemporaneous commercial, tax, banking and inventory evidence and appeared non-genuine.</x:v>
      </x:c>
      <x:c r="F8" s="56" t="str">
        <x:v>Paras 104-112, 198-214</x:v>
      </x:c>
      <x:c r="G8" s="58" t="str">
        <x:v>https://www.sebi.gov.in/enforcement/orders/jun-2026/interim-order-in-the-matter-of-rajesh-exports-limited_101820.html</x:v>
      </x:c>
    </x:row>
    <x:row r="9">
      <x:c r="A9" s="55" t="str">
        <x:v>Rajesh Exports Limited</x:v>
      </x:c>
      <x:c r="B9" s="56" t="str">
        <x:v>Interim</x:v>
      </x:c>
      <x:c r="C9" s="56" t="str">
        <x:v>Failure to eliminate intra-group balances on consolidation</x:v>
      </x:c>
      <x:c r="D9" s="56" t="str">
        <x:v>Prima facie violated</x:v>
      </x:c>
      <x:c r="E9" s="56" t="str">
        <x:v>Inflated consolidated investments/balances affected the perceived financial position and valuation.</x:v>
      </x:c>
      <x:c r="F9" s="56" t="str">
        <x:v>Paras 113-132, 198-214 and 222(I)</x:v>
      </x:c>
      <x:c r="G9" s="58" t="str">
        <x:v>https://www.sebi.gov.in/enforcement/orders/jun-2026/interim-order-in-the-matter-of-rajesh-exports-limited_101820.html</x:v>
      </x:c>
    </x:row>
    <x:row r="10">
      <x:c r="A10" s="55" t="str">
        <x:v>Rajesh Exports Limited</x:v>
      </x:c>
      <x:c r="B10" s="56" t="str">
        <x:v>Interim</x:v>
      </x:c>
      <x:c r="C10" s="56" t="str">
        <x:v>Unverifiable investment in African gold mines</x:v>
      </x:c>
      <x:c r="D10" s="56" t="str">
        <x:v>Prima facie violated</x:v>
      </x:c>
      <x:c r="E10" s="56" t="str">
        <x:v>Unsubstantiated non-current investments presented a misleading asset base.</x:v>
      </x:c>
      <x:c r="F10" s="56" t="str">
        <x:v>Paras 133-141, 198-214</x:v>
      </x:c>
      <x:c r="G10" s="58" t="str">
        <x:v>https://www.sebi.gov.in/enforcement/orders/jun-2026/interim-order-in-the-matter-of-rajesh-exports-limited_101820.html</x:v>
      </x:c>
    </x:row>
    <x:row r="11">
      <x:c r="A11" s="55" t="str">
        <x:v>Rajesh Exports Limited</x:v>
      </x:c>
      <x:c r="B11" s="56" t="str">
        <x:v>Interim</x:v>
      </x:c>
      <x:c r="C11" s="56" t="str">
        <x:v>Opaque netting of receivables and payables</x:v>
      </x:c>
      <x:c r="D11" s="56" t="str">
        <x:v>Prima facie violated</x:v>
      </x:c>
      <x:c r="E11" s="56" t="str">
        <x:v>Undisclosed multi-party offsets reduced old receivables and manipulated the balance-sheet picture.</x:v>
      </x:c>
      <x:c r="F11" s="56" t="str">
        <x:v>Paras 142-159, 198-214</x:v>
      </x:c>
      <x:c r="G11" s="58" t="str">
        <x:v>https://www.sebi.gov.in/enforcement/orders/jun-2026/interim-order-in-the-matter-of-rajesh-exports-limited_101820.html</x:v>
      </x:c>
    </x:row>
    <x:row r="12">
      <x:c r="A12" s="55" t="str">
        <x:v>Rajesh Exports Limited</x:v>
      </x:c>
      <x:c r="B12" s="56" t="str">
        <x:v>Interim</x:v>
      </x:c>
      <x:c r="C12" s="56" t="str">
        <x:v>Routing/misutilisation of funds through personal and promoter-controlled accounts</x:v>
      </x:c>
      <x:c r="D12" s="56" t="str">
        <x:v>Prima facie violated</x:v>
      </x:c>
      <x:c r="E12" s="56" t="str">
        <x:v>Opaque routing, lack of approvals/disclosures and unexplained end use supported fraud and market-manipulation inferences.</x:v>
      </x:c>
      <x:c r="F12" s="56" t="str">
        <x:v>Paras 160-197, 198-214 and 222(I)</x:v>
      </x:c>
      <x:c r="G12" s="58" t="str">
        <x:v>https://www.sebi.gov.in/enforcement/orders/jun-2026/interim-order-in-the-matter-of-rajesh-exports-limited_101820.html</x:v>
      </x:c>
    </x:row>
    <x:row r="13">
      <x:c r="A13" s="55" t="str">
        <x:v>Seacoast Shipping Services Limited</x:v>
      </x:c>
      <x:c r="B13" s="56" t="str">
        <x:v>Interim -&gt; Final</x:v>
      </x:c>
      <x:c r="C13" s="56" t="str">
        <x:v>Misrepresented financial statements with fictitious sales/assets</x:v>
      </x:c>
      <x:c r="D13" s="56" t="str">
        <x:v>Upheld</x:v>
      </x:c>
      <x:c r="E13" s="56" t="str">
        <x:v>The final order established non-genuine sales/assets and linked false financial reporting to increased retail participation and promoter exit.</x:v>
      </x:c>
      <x:c r="F13" s="56" t="str">
        <x:v>Interim paras 44-48, 151-156; Final paras 53-131, 238(a),(c), Table 52 row 1</x:v>
      </x:c>
      <x:c r="G13" s="58" t="str">
        <x:v>https://www.sebi.gov.in/sebi_data/attachdocs/sep-2025/final_order_sssl.pdf</x:v>
      </x:c>
    </x:row>
    <x:row r="14">
      <x:c r="A14" s="55" t="str">
        <x:v>Seacoast Shipping Services Limited</x:v>
      </x:c>
      <x:c r="B14" s="56" t="str">
        <x:v>Interim -&gt; Final</x:v>
      </x:c>
      <x:c r="C14" s="56" t="str">
        <x:v>1.50 crore promoter shares issued without transfer of promised net assets</x:v>
      </x:c>
      <x:c r="D14" s="56" t="str">
        <x:v>Upheld</x:v>
      </x:c>
      <x:c r="E14" s="56" t="str">
        <x:v>Sham/non-cash preferential allotment caused loss to the company and formed part of the fraudulent scheme.</x:v>
      </x:c>
      <x:c r="F14" s="56" t="str">
        <x:v>Interim paras 49-57; Final paras 116-131, Table 52 row 2</x:v>
      </x:c>
      <x:c r="G14" s="58" t="str">
        <x:v>https://www.sebi.gov.in/sebi_data/attachdocs/sep-2025/final_order_sssl.pdf</x:v>
      </x:c>
    </x:row>
    <x:row r="15">
      <x:c r="A15" s="55" t="str">
        <x:v>Seacoast Shipping Services Limited</x:v>
      </x:c>
      <x:c r="B15" s="56" t="str">
        <x:v>Interim -&gt; Final</x:v>
      </x:c>
      <x:c r="C15" s="56" t="str">
        <x:v>0.52 crore cash preferential allotment allegedly financed circularly</x:v>
      </x:c>
      <x:c r="D15" s="56" t="str">
        <x:v>Not upheld</x:v>
      </x:c>
      <x:c r="E15" s="56" t="str">
        <x:v>Evidence showed consideration was received; loans/advances were supported, repayment was explained, third parties were not examined and sale proceeds remained with allottees.</x:v>
      </x:c>
      <x:c r="F15" s="56" t="str">
        <x:v>Final paras 132-174, especially 157-167 and 171-173; Table 52 rows 3 and 18</x:v>
      </x:c>
      <x:c r="G15" s="58" t="str">
        <x:v>https://www.sebi.gov.in/sebi_data/attachdocs/sep-2025/final_order_sssl.pdf</x:v>
      </x:c>
    </x:row>
    <x:row r="16">
      <x:c r="A16" s="55" t="str">
        <x:v>Seacoast Shipping Services Limited</x:v>
      </x:c>
      <x:c r="B16" s="56" t="str">
        <x:v>Interim -&gt; Final</x:v>
      </x:c>
      <x:c r="C16" s="56" t="str">
        <x:v>Diversion of rights-issue and cash-credit funds through fictitious purchases</x:v>
      </x:c>
      <x:c r="D16" s="56" t="str">
        <x:v>Upheld</x:v>
      </x:c>
      <x:c r="E16" s="56" t="str">
        <x:v>No documentary support for intended utilisation; admissions and rapid layering supported diversion and fraudulent-practice findings.</x:v>
      </x:c>
      <x:c r="F16" s="56" t="str">
        <x:v>Interim paras 84-98; Final paras 175-183; Table 52 row 4</x:v>
      </x:c>
      <x:c r="G16" s="58" t="str">
        <x:v>https://www.sebi.gov.in/sebi_data/attachdocs/sep-2025/final_order_sssl.pdf</x:v>
      </x:c>
    </x:row>
    <x:row r="17">
      <x:c r="A17" s="55" t="str">
        <x:v>Seacoast Shipping Services Limited</x:v>
      </x:c>
      <x:c r="B17" s="56" t="str">
        <x:v>Final</x:v>
      </x:c>
      <x:c r="C17" s="56" t="str">
        <x:v>Managing Director’s role in the composite fraud</x:v>
      </x:c>
      <x:c r="D17" s="56" t="str">
        <x:v>Partly upheld</x:v>
      </x:c>
      <x:c r="E17" s="56" t="str">
        <x:v>Overall PFUTP liability including 4(2)(e) was upheld, except the separate cash preferential-allotment allegation.</x:v>
      </x:c>
      <x:c r="F17" s="56" t="str">
        <x:v>Final para 222 and Table 52 row 12</x:v>
      </x:c>
      <x:c r="G17" s="58" t="str">
        <x:v>https://www.sebi.gov.in/sebi_data/attachdocs/sep-2025/final_order_sssl.pdf</x:v>
      </x:c>
    </x:row>
    <x:row r="18">
      <x:c r="A18" s="59" t="str">
        <x:v>Seacoast Shipping Services Limited</x:v>
      </x:c>
      <x:c r="B18" s="60" t="str">
        <x:v>Final</x:v>
      </x:c>
      <x:c r="C18" s="60" t="str">
        <x:v>Executive Director aided and abetted composite scheme</x:v>
      </x:c>
      <x:c r="D18" s="60" t="str">
        <x:v>Upheld</x:v>
      </x:c>
      <x:c r="E18" s="60" t="str">
        <x:v>Position, conduct and lack of cogent rebuttal supported responsibility for the established scheme.</x:v>
      </x:c>
      <x:c r="F18" s="60" t="str">
        <x:v>Final para 223 and Table 52 row 17</x:v>
      </x:c>
      <x:c r="G18" s="62" t="str">
        <x:v>https://www.sebi.gov.in/sebi_data/attachdocs/sep-2025/final_order_sssl.pdf</x:v>
      </x:c>
    </x:row>
  </x:sheetData>
  <x:mergeCells>
    <x:mergeCell ref="A1:G1"/>
    <x:mergeCell ref="A2:G2"/>
  </x:mergeCells>
  <x:conditionalFormatting sqref="D5:D18">
    <x:cfRule type="containsText" dxfId="4" priority="1" operator="containsText" text="Upheld"/>
    <x:cfRule type="containsText" dxfId="5" priority="2" operator="containsText" text="Not upheld"/>
    <x:cfRule type="containsText" dxfId="6" priority="3" operator="containsText" text="Partly"/>
    <x:cfRule type="containsText" dxfId="7" priority="4" operator="containsText" text="Prima facie"/>
  </x:conditionalFormatting>
  <x:pageMargins left="0.7" right="0.7" top="0.75" bottom="0.75" header="0.3" footer="0.3"/>
  <x:tableParts count="1">
    <x:tablePart xmlns:r="http://schemas.openxmlformats.org/officeDocument/2006/relationships" r:id="R5687f036a6e84ac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72" hidden="0" customWidth="1"/>
    <x:col min="3" max="3" width="42" hidden="0" customWidth="1"/>
    <x:col min="4" max="4" width="58" hidden="0" customWidth="1"/>
  </x:cols>
  <x:sheetData>
    <x:row r="1" ht="32" customHeight="1">
      <x:c r="A1" s="40" t="str">
        <x:v>Legal and Evidentiary Tests</x:v>
      </x:c>
      <x:c r="B1" s="40"/>
      <x:c r="C1" s="40"/>
      <x:c r="D1" s="40"/>
    </x:row>
    <x:row r="2" ht="34" customHeight="1">
      <x:c r="A2" s="41" t="str">
        <x:v>Reasoning patterns to be used by the scenario-matching engine, including safeguards against overstatement.</x:v>
      </x:c>
      <x:c r="B2" s="41"/>
      <x:c r="C2" s="41"/>
      <x:c r="D2" s="41"/>
    </x:row>
    <x:row r="3">
      <x:c r="A3" s="42"/>
      <x:c r="B3" s="42"/>
      <x:c r="C3" s="42"/>
      <x:c r="D3" s="42"/>
    </x:row>
    <x:row r="4" ht="30" customHeight="1">
      <x:c r="A4" s="43" t="str">
        <x:v>Test / issue</x:v>
      </x:c>
      <x:c r="B4" s="50" t="str">
        <x:v>Working principle derived from orders</x:v>
      </x:c>
      <x:c r="C4" s="50" t="str">
        <x:v>Paragraph anchors</x:v>
      </x:c>
      <x:c r="D4" s="44" t="str">
        <x:v>Implementation guardrail</x:v>
      </x:c>
    </x:row>
    <x:row r="5">
      <x:c r="A5" s="51" t="str">
        <x:v>PFUTP 4(2)(e): market nexus</x:v>
      </x:c>
      <x:c r="B5" s="52" t="str">
        <x:v>An accounting irregularity becomes relevant to price manipulation where dissemination creates a false appearance of financial health/valuation, induces investors, or distorts price discovery.</x:v>
      </x:c>
      <x:c r="C5" s="52" t="str">
        <x:v>REL paras 198-214; SSSL final paras 186-189</x:v>
      </x:c>
      <x:c r="D5" s="54" t="str">
        <x:v>Treat as an analytical bridge, not an automatic rule that every accounting error violates PFUTP.</x:v>
      </x:c>
    </x:row>
    <x:row r="6">
      <x:c r="A6" s="55" t="str">
        <x:v>Financial misstatement evidence</x:v>
      </x:c>
      <x:c r="B6" s="56" t="str">
        <x:v>Look for transaction-level commercial records, GST/tax records, bank flows, inventory/delivery evidence, counterparty confirmation and consistency across ledgers and statutory filings.</x:v>
      </x:c>
      <x:c r="C6" s="56" t="str">
        <x:v>REL paras 67-159; SSSL final paras 53-115</x:v>
      </x:c>
      <x:c r="D6" s="58" t="str">
        <x:v>Absence of several independent forms of evidence strengthens an inference of non-genuineness.</x:v>
      </x:c>
    </x:row>
    <x:row r="7">
      <x:c r="A7" s="55" t="str">
        <x:v>Circular fund-flow allegation</x:v>
      </x:c>
      <x:c r="B7" s="56" t="str">
        <x:v>Circular movement by itself may be insufficient where loan/advance transactions are supported, occur in ordinary business, and are reflected in audited statements.</x:v>
      </x:c>
      <x:c r="C7" s="56" t="str">
        <x:v>SSSL final paras 157-166</x:v>
      </x:c>
      <x:c r="D7" s="58" t="str">
        <x:v>Trace the substance of each leg and test the explanation; temporal proximity alone is not conclusive.</x:v>
      </x:c>
    </x:row>
    <x:row r="8">
      <x:c r="A8" s="55" t="str">
        <x:v>Third-party examination</x:v>
      </x:c>
      <x:c r="B8" s="56" t="str">
        <x:v>If a fraud theory depends on intermediary entities, failure to examine them or obtain corroboration can leave evidentiary gaps.</x:v>
      </x:c>
      <x:c r="C8" s="56" t="str">
        <x:v>SSSL final para 166(iii)-(iv)</x:v>
      </x:c>
      <x:c r="D8" s="58" t="str">
        <x:v>Record which entities were summoned, examined and made noticees.</x:v>
      </x:c>
    </x:row>
    <x:row r="9">
      <x:c r="A9" s="55" t="str">
        <x:v>Distinct transactions</x:v>
      </x:c>
      <x:c r="B9" s="56" t="str">
        <x:v>Separate receipt of prior dues and later investment cannot be clubbed without credible evidence connecting the two transactions.</x:v>
      </x:c>
      <x:c r="C9" s="56" t="str">
        <x:v>SSSL final paras 171-173</x:v>
      </x:c>
      <x:c r="D9" s="58" t="str">
        <x:v>Require evidence of routing, common control, pre-arrangement or return of economic benefit.</x:v>
      </x:c>
    </x:row>
    <x:row r="10">
      <x:c r="A10" s="55" t="str">
        <x:v>Ultimate benefit / sale proceeds</x:v>
      </x:c>
      <x:c r="B10" s="56" t="str">
        <x:v>Where alleged front allottees retain sale proceeds and no flow back is proved, that fact may undermine the allegation that allotment was financed for the promoter/company.</x:v>
      </x:c>
      <x:c r="C10" s="56" t="str">
        <x:v>SSSL final paras 164-166 and 172-173</x:v>
      </x:c>
      <x:c r="D10" s="58" t="str">
        <x:v>Always trace the eventual economic benefit, not only initial funding.</x:v>
      </x:c>
    </x:row>
    <x:row r="11">
      <x:c r="A11" s="59" t="str">
        <x:v>Interim versus final status</x:v>
      </x:c>
      <x:c r="B11" s="60" t="str">
        <x:v>Interim findings are prima facie and may be displaced after replies, cross-examination and further evidence.</x:v>
      </x:c>
      <x:c r="C11" s="60" t="str">
        <x:v>SSSL interim para 159; SSSL final paras 132-174</x:v>
      </x:c>
      <x:c r="D11" s="62" t="str">
        <x:v>The chatbot must label procedural stage and prefer final findings when available.</x:v>
      </x:c>
    </x:row>
  </x:sheetData>
  <x:mergeCells>
    <x:mergeCell ref="A1:D1"/>
    <x:mergeCell ref="A2:D2"/>
  </x:mergeCells>
  <x:pageMargins left="0.7" right="0.7" top="0.75" bottom="0.75" header="0.3" footer="0.3"/>
  <x:tableParts count="1">
    <x:tablePart xmlns:r="http://schemas.openxmlformats.org/officeDocument/2006/relationships" r:id="R486e0530c83f454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40" hidden="0" customWidth="1"/>
    <x:col min="3" max="3" width="56" hidden="0" customWidth="1"/>
    <x:col min="4" max="4" width="18" hidden="0" customWidth="1"/>
    <x:col min="5" max="5" width="30" hidden="0" customWidth="1"/>
    <x:col min="6" max="6" width="52" hidden="0" customWidth="1"/>
  </x:cols>
  <x:sheetData>
    <x:row r="1" ht="32" customHeight="1">
      <x:c r="A1" s="40" t="str">
        <x:v>Provision Index</x:v>
      </x:c>
      <x:c r="B1" s="40"/>
      <x:c r="C1" s="40"/>
      <x:c r="D1" s="40"/>
      <x:c r="E1" s="40"/>
      <x:c r="F1" s="40"/>
    </x:row>
    <x:row r="2" ht="34" customHeight="1">
      <x:c r="A2" s="41" t="str">
        <x:v>Order-cited provisions for this pilot. Current consolidated statutory text will be maintained separately from precedent analysis.</x:v>
      </x:c>
      <x:c r="B2" s="41"/>
      <x:c r="C2" s="41"/>
      <x:c r="D2" s="41"/>
      <x:c r="E2" s="41"/>
      <x:c r="F2" s="41"/>
    </x:row>
    <x:row r="3">
      <x:c r="A3" s="42"/>
      <x:c r="B3" s="42"/>
      <x:c r="C3" s="42"/>
      <x:c r="D3" s="42"/>
      <x:c r="E3" s="42"/>
      <x:c r="F3" s="42"/>
    </x:row>
    <x:row r="4" ht="30" customHeight="1">
      <x:c r="A4" s="43" t="str">
        <x:v>Instrument</x:v>
      </x:c>
      <x:c r="B4" s="50" t="str">
        <x:v>Provision</x:v>
      </x:c>
      <x:c r="C4" s="50" t="str">
        <x:v>Subject</x:v>
      </x:c>
      <x:c r="D4" s="50" t="str">
        <x:v>Cases</x:v>
      </x:c>
      <x:c r="E4" s="50" t="str">
        <x:v>Treatment in pilot orders</x:v>
      </x:c>
      <x:c r="F4" s="44" t="str">
        <x:v>Law-library note</x:v>
      </x:c>
    </x:row>
    <x:row r="5">
      <x:c r="A5" s="51" t="str">
        <x:v>SEBI Act, 1992</x:v>
      </x:c>
      <x:c r="B5" s="52" t="str">
        <x:v>Section 12A(a), (b), (c)</x:v>
      </x:c>
      <x:c r="C5" s="52" t="str">
        <x:v>Manipulative/deceptive devices and fraud in connection with securities</x:v>
      </x:c>
      <x:c r="D5" s="52" t="str">
        <x:v>REL; SSSL</x:v>
      </x:c>
      <x:c r="E5" s="52" t="str">
        <x:v>Prima facie and/or upheld</x:v>
      </x:c>
      <x:c r="F5" s="54" t="str">
        <x:v>Order-cited text; obtain current official statutory text for law library</x:v>
      </x:c>
    </x:row>
    <x:row r="6">
      <x:c r="A6" s="55" t="str">
        <x:v>SEBI Act, 1992</x:v>
      </x:c>
      <x:c r="B6" s="56" t="str">
        <x:v>Section 27</x:v>
      </x:c>
      <x:c r="C6" s="56" t="str">
        <x:v>Liability where contravention is committed by a company</x:v>
      </x:c>
      <x:c r="D6" s="56" t="str">
        <x:v>REL; SSSL</x:v>
      </x:c>
      <x:c r="E6" s="56" t="str">
        <x:v>Prima facie and upheld</x:v>
      </x:c>
      <x:c r="F6" s="58" t="str">
        <x:v>Used for persons in charge/responsible; role-specific analysis required</x:v>
      </x:c>
    </x:row>
    <x:row r="7">
      <x:c r="A7" s="55" t="str">
        <x:v>SEBI Act, 1992</x:v>
      </x:c>
      <x:c r="B7" s="56" t="str">
        <x:v>Sections 11(2)(ia), 11C(3)</x:v>
      </x:c>
      <x:c r="C7" s="56" t="str">
        <x:v>Investigation/production of information</x:v>
      </x:c>
      <x:c r="D7" s="56" t="str">
        <x:v>REL</x:v>
      </x:c>
      <x:c r="E7" s="56" t="str">
        <x:v>Prima facie</x:v>
      </x:c>
      <x:c r="F7" s="58" t="str">
        <x:v>Relevant to non-cooperation findings</x:v>
      </x:c>
    </x:row>
    <x:row r="8">
      <x:c r="A8" s="55" t="str">
        <x:v>SEBI Act, 1992</x:v>
      </x:c>
      <x:c r="B8" s="56" t="str">
        <x:v>Sections 15HA and 15HB</x:v>
      </x:c>
      <x:c r="C8" s="56" t="str">
        <x:v>Penalty provisions for PFUTP and other contraventions</x:v>
      </x:c>
      <x:c r="D8" s="56" t="str">
        <x:v>SSSL</x:v>
      </x:c>
      <x:c r="E8" s="56" t="str">
        <x:v>Applied in final directions</x:v>
      </x:c>
      <x:c r="F8" s="58" t="str">
        <x:v>See final paras 241-247</x:v>
      </x:c>
    </x:row>
    <x:row r="9">
      <x:c r="A9" s="55" t="str">
        <x:v>PFUTP Regulations, 2003</x:v>
      </x:c>
      <x:c r="B9" s="56" t="str">
        <x:v>Regulation 3(a)-(d)</x:v>
      </x:c>
      <x:c r="C9" s="56" t="str">
        <x:v>Prohibitions on fraudulent/deceptive conduct</x:v>
      </x:c>
      <x:c r="D9" s="56" t="str">
        <x:v>REL; SSSL</x:v>
      </x:c>
      <x:c r="E9" s="56" t="str">
        <x:v>Prima facie and/or upheld</x:v>
      </x:c>
      <x:c r="F9" s="58" t="str">
        <x:v>Exact clause set varies by scenario</x:v>
      </x:c>
    </x:row>
    <x:row r="10">
      <x:c r="A10" s="55" t="str">
        <x:v>PFUTP Regulations, 2003</x:v>
      </x:c>
      <x:c r="B10" s="56" t="str">
        <x:v>Regulation 4(1)</x:v>
      </x:c>
      <x:c r="C10" s="56" t="str">
        <x:v>Manipulative, fraudulent or unfair trade practice</x:v>
      </x:c>
      <x:c r="D10" s="56" t="str">
        <x:v>REL; SSSL</x:v>
      </x:c>
      <x:c r="E10" s="56" t="str">
        <x:v>Prima facie and/or upheld</x:v>
      </x:c>
      <x:c r="F10" s="58" t="str">
        <x:v>REL discusses diversion/manipulated books explanation at paras 198-200</x:v>
      </x:c>
    </x:row>
    <x:row r="11">
      <x:c r="A11" s="55" t="str">
        <x:v>PFUTP Regulations, 2003</x:v>
      </x:c>
      <x:c r="B11" s="56" t="str">
        <x:v>Regulation 4(2)(e)</x:v>
      </x:c>
      <x:c r="C11" s="56" t="str">
        <x:v>Act/omission amounting to manipulation of security price</x:v>
      </x:c>
      <x:c r="D11" s="56" t="str">
        <x:v>REL; SSSL</x:v>
      </x:c>
      <x:c r="E11" s="56" t="str">
        <x:v>Prima facie and/or upheld/not upheld</x:v>
      </x:c>
      <x:c r="F11" s="58" t="str">
        <x:v>See dedicated 4(2)(e) sheet</x:v>
      </x:c>
    </x:row>
    <x:row r="12">
      <x:c r="A12" s="55" t="str">
        <x:v>PFUTP Regulations, 2003</x:v>
      </x:c>
      <x:c r="B12" s="56" t="str">
        <x:v>Regulation 4(2)(f)</x:v>
      </x:c>
      <x:c r="C12" s="56" t="str">
        <x:v>Publishing/reporting untrue securities-related information</x:v>
      </x:c>
      <x:c r="D12" s="56" t="str">
        <x:v>REL; SSSL</x:v>
      </x:c>
      <x:c r="E12" s="56" t="str">
        <x:v>Prima facie and/or upheld</x:v>
      </x:c>
      <x:c r="F12" s="58" t="str">
        <x:v>Often paired with financial-result misstatements</x:v>
      </x:c>
    </x:row>
    <x:row r="13">
      <x:c r="A13" s="55" t="str">
        <x:v>PFUTP Regulations, 2003</x:v>
      </x:c>
      <x:c r="B13" s="56" t="str">
        <x:v>Regulation 4(2)(k)</x:v>
      </x:c>
      <x:c r="C13" s="56" t="str">
        <x:v>Disseminating false/misleading information likely to influence investors</x:v>
      </x:c>
      <x:c r="D13" s="56" t="str">
        <x:v>REL; SSSL</x:v>
      </x:c>
      <x:c r="E13" s="56" t="str">
        <x:v>Prima facie and/or upheld</x:v>
      </x:c>
      <x:c r="F13" s="58" t="str">
        <x:v>Amendment timing may matter; REL para 203</x:v>
      </x:c>
    </x:row>
    <x:row r="14">
      <x:c r="A14" s="55" t="str">
        <x:v>PFUTP Regulations, 2003</x:v>
      </x:c>
      <x:c r="B14" s="56" t="str">
        <x:v>Regulation 4(2)(r)</x:v>
      </x:c>
      <x:c r="C14" s="56" t="str">
        <x:v>Knowingly planting false/misleading information inducing trades</x:v>
      </x:c>
      <x:c r="D14" s="56" t="str">
        <x:v>REL; SSSL</x:v>
      </x:c>
      <x:c r="E14" s="56" t="str">
        <x:v>Prima facie and/or upheld</x:v>
      </x:c>
      <x:c r="F14" s="58" t="str">
        <x:v>Used for false announcements and disclosures</x:v>
      </x:c>
    </x:row>
    <x:row r="15">
      <x:c r="A15" s="55" t="str">
        <x:v>LODR Regulations, 2015</x:v>
      </x:c>
      <x:c r="B15" s="56" t="str">
        <x:v>Regulation 4(1)(a),(b),(c),(e),(g),(h),(j)</x:v>
      </x:c>
      <x:c r="C15" s="56" t="str">
        <x:v>General principles for disclosures and governance</x:v>
      </x:c>
      <x:c r="D15" s="56" t="str">
        <x:v>REL; SSSL</x:v>
      </x:c>
      <x:c r="E15" s="56" t="str">
        <x:v>Prima facie and/or upheld</x:v>
      </x:c>
      <x:c r="F15" s="58" t="str">
        <x:v>Map clause-by-clause in law library</x:v>
      </x:c>
    </x:row>
    <x:row r="16">
      <x:c r="A16" s="55" t="str">
        <x:v>LODR Regulations, 2015</x:v>
      </x:c>
      <x:c r="B16" s="56" t="str">
        <x:v>Regulation 4(2)(e)(i)</x:v>
      </x:c>
      <x:c r="C16" s="56" t="str">
        <x:v>Financial statements: true and fair view / applicable standards</x:v>
      </x:c>
      <x:c r="D16" s="56" t="str">
        <x:v>REL; SSSL</x:v>
      </x:c>
      <x:c r="E16" s="56" t="str">
        <x:v>Prima facie and/or upheld</x:v>
      </x:c>
      <x:c r="F16" s="58" t="str">
        <x:v>Do not confuse with PFUTP Regulation 4(2)(e)</x:v>
      </x:c>
    </x:row>
    <x:row r="17">
      <x:c r="A17" s="55" t="str">
        <x:v>LODR Regulations, 2015</x:v>
      </x:c>
      <x:c r="B17" s="56" t="str">
        <x:v>Regulation 4(2)(f) sub-clauses</x:v>
      </x:c>
      <x:c r="C17" s="56" t="str">
        <x:v>Board responsibilities and governance principles</x:v>
      </x:c>
      <x:c r="D17" s="56" t="str">
        <x:v>SSSL</x:v>
      </x:c>
      <x:c r="E17" s="56" t="str">
        <x:v>Upheld for specified directors</x:v>
      </x:c>
      <x:c r="F17" s="58" t="str">
        <x:v>See Table 52 rows 14 and 19-21</x:v>
      </x:c>
    </x:row>
    <x:row r="18">
      <x:c r="A18" s="55" t="str">
        <x:v>LODR Regulations, 2015</x:v>
      </x:c>
      <x:c r="B18" s="56" t="str">
        <x:v>Regulation 6(1), 6(1A), 6(2)(a),(c)</x:v>
      </x:c>
      <x:c r="C18" s="56" t="str">
        <x:v>Compliance Officer appointment, vacancy and duties</x:v>
      </x:c>
      <x:c r="D18" s="56" t="str">
        <x:v>SSSL</x:v>
      </x:c>
      <x:c r="E18" s="56" t="str">
        <x:v>Upheld</x:v>
      </x:c>
      <x:c r="F18" s="58" t="str">
        <x:v>Company and officer obligations are distinct</x:v>
      </x:c>
    </x:row>
    <x:row r="19">
      <x:c r="A19" s="55" t="str">
        <x:v>LODR Regulations, 2015</x:v>
      </x:c>
      <x:c r="B19" s="56" t="str">
        <x:v>Regulations 16(1)(b), 18(1)(d), 18(2), 18(3)</x:v>
      </x:c>
      <x:c r="C19" s="56" t="str">
        <x:v>Independent-director eligibility and Audit Committee requirements</x:v>
      </x:c>
      <x:c r="D19" s="56" t="str">
        <x:v>SSSL</x:v>
      </x:c>
      <x:c r="E19" s="56" t="str">
        <x:v>Upheld</x:v>
      </x:c>
      <x:c r="F19" s="58" t="str">
        <x:v>Includes constitution, meetings and functions</x:v>
      </x:c>
    </x:row>
    <x:row r="20">
      <x:c r="A20" s="55" t="str">
        <x:v>LODR Regulations, 2015</x:v>
      </x:c>
      <x:c r="B20" s="56" t="str">
        <x:v>Regulation 17(8)</x:v>
      </x:c>
      <x:c r="C20" s="56" t="str">
        <x:v>CEO/CFO compliance certification</x:v>
      </x:c>
      <x:c r="D20" s="56" t="str">
        <x:v>SSSL</x:v>
      </x:c>
      <x:c r="E20" s="56" t="str">
        <x:v>Upheld</x:v>
      </x:c>
      <x:c r="F20" s="58" t="str">
        <x:v>Final Table 52 row 16</x:v>
      </x:c>
    </x:row>
    <x:row r="21">
      <x:c r="A21" s="55" t="str">
        <x:v>LODR Regulations, 2015</x:v>
      </x:c>
      <x:c r="B21" s="56" t="str">
        <x:v>Regulation 23(2)</x:v>
      </x:c>
      <x:c r="C21" s="56" t="str">
        <x:v>Prior Audit Committee approval of RPTs</x:v>
      </x:c>
      <x:c r="D21" s="56" t="str">
        <x:v>REL; SSSL</x:v>
      </x:c>
      <x:c r="E21" s="56" t="str">
        <x:v>Prima facie and upheld</x:v>
      </x:c>
      <x:c r="F21" s="58" t="str">
        <x:v>SSSL absence of AC meetings meant approval was not proved</x:v>
      </x:c>
    </x:row>
    <x:row r="22">
      <x:c r="A22" s="55" t="str">
        <x:v>LODR Regulations, 2015</x:v>
      </x:c>
      <x:c r="B22" s="56" t="str">
        <x:v>Regulation 27(2)(a)</x:v>
      </x:c>
      <x:c r="C22" s="56" t="str">
        <x:v>Quarterly corporate-governance compliance report</x:v>
      </x:c>
      <x:c r="D22" s="56" t="str">
        <x:v>SSSL</x:v>
      </x:c>
      <x:c r="E22" s="56" t="str">
        <x:v>Upheld against MD</x:v>
      </x:c>
      <x:c r="F22" s="58" t="str">
        <x:v>Final para 222(vii)</x:v>
      </x:c>
    </x:row>
    <x:row r="23">
      <x:c r="A23" s="55" t="str">
        <x:v>LODR Regulations, 2015</x:v>
      </x:c>
      <x:c r="B23" s="56" t="str">
        <x:v>Regulation 32 / 32(7A)</x:v>
      </x:c>
      <x:c r="C23" s="56" t="str">
        <x:v>Monitoring/disclosure of issue-proceeds utilisation</x:v>
      </x:c>
      <x:c r="D23" s="56" t="str">
        <x:v>SSSL</x:v>
      </x:c>
      <x:c r="E23" s="56" t="str">
        <x:v>Upheld in relevant findings</x:v>
      </x:c>
      <x:c r="F23" s="58" t="str">
        <x:v>Final paras 181-182 and 214</x:v>
      </x:c>
    </x:row>
    <x:row r="24">
      <x:c r="A24" s="55" t="str">
        <x:v>LODR Regulations, 2015</x:v>
      </x:c>
      <x:c r="B24" s="56" t="str">
        <x:v>Regulation 33(1)(a),(c), 33(3)(d)</x:v>
      </x:c>
      <x:c r="C24" s="56" t="str">
        <x:v>Financial results, accounting compliance and audit qualification impact</x:v>
      </x:c>
      <x:c r="D24" s="56" t="str">
        <x:v>REL; SSSL</x:v>
      </x:c>
      <x:c r="E24" s="56" t="str">
        <x:v>Prima facie and/or upheld</x:v>
      </x:c>
      <x:c r="F24" s="58" t="str">
        <x:v>Scenario-specific</x:v>
      </x:c>
    </x:row>
    <x:row r="25">
      <x:c r="A25" s="55" t="str">
        <x:v>LODR Regulations, 2015</x:v>
      </x:c>
      <x:c r="B25" s="56" t="str">
        <x:v>Regulation 34(2)(a), 34(3) and Schedule V</x:v>
      </x:c>
      <x:c r="C25" s="56" t="str">
        <x:v>Annual-report contents and disclosures</x:v>
      </x:c>
      <x:c r="D25" s="56" t="str">
        <x:v>REL; SSSL</x:v>
      </x:c>
      <x:c r="E25" s="56" t="str">
        <x:v>Prima facie and/or upheld</x:v>
      </x:c>
      <x:c r="F25" s="58" t="str">
        <x:v>Includes audit qualifications and RPT disclosures</x:v>
      </x:c>
    </x:row>
    <x:row r="26">
      <x:c r="A26" s="55" t="str">
        <x:v>LODR Regulations, 2015</x:v>
      </x:c>
      <x:c r="B26" s="56" t="str">
        <x:v>Regulation 46(2)(s)</x:v>
      </x:c>
      <x:c r="C26" s="56" t="str">
        <x:v>Website publication of subsidiary financial statements</x:v>
      </x:c>
      <x:c r="D26" s="56" t="str">
        <x:v>REL</x:v>
      </x:c>
      <x:c r="E26" s="56" t="str">
        <x:v>Prima facie</x:v>
      </x:c>
      <x:c r="F26" s="58" t="str">
        <x:v>REL para 222(V)</x:v>
      </x:c>
    </x:row>
    <x:row r="27">
      <x:c r="A27" s="55" t="str">
        <x:v>LODR Regulations, 2015</x:v>
      </x:c>
      <x:c r="B27" s="56" t="str">
        <x:v>Regulation 48</x:v>
      </x:c>
      <x:c r="C27" s="56" t="str">
        <x:v>Compliance with applicable accounting standards</x:v>
      </x:c>
      <x:c r="D27" s="56" t="str">
        <x:v>REL; SSSL</x:v>
      </x:c>
      <x:c r="E27" s="56" t="str">
        <x:v>Prima facie and/or upheld</x:v>
      </x:c>
      <x:c r="F27" s="58" t="str">
        <x:v>Operates with specific Ind AS findings</x:v>
      </x:c>
    </x:row>
    <x:row r="28">
      <x:c r="A28" s="55" t="str">
        <x:v>Companies Act, 2013</x:v>
      </x:c>
      <x:c r="B28" s="56" t="str">
        <x:v>Section 136(1)</x:v>
      </x:c>
      <x:c r="C28" s="56" t="str">
        <x:v>Access/publication of financial statements including subsidiary information</x:v>
      </x:c>
      <x:c r="D28" s="56" t="str">
        <x:v>REL</x:v>
      </x:c>
      <x:c r="E28" s="56" t="str">
        <x:v>Prima facie</x:v>
      </x:c>
      <x:c r="F28" s="58" t="str">
        <x:v>REL para 222(V); obtain current MCA text</x:v>
      </x:c>
    </x:row>
    <x:row r="29">
      <x:c r="A29" s="59" t="str">
        <x:v>Indian Accounting Standards</x:v>
      </x:c>
      <x:c r="B29" s="60" t="str">
        <x:v>Ind AS 1, 7, 21, 24, 32, 107, 110, 115</x:v>
      </x:c>
      <x:c r="C29" s="60" t="str">
        <x:v>Presentation, cash flows, forex, RPT, offsetting/disclosures, consolidation and revenue</x:v>
      </x:c>
      <x:c r="D29" s="60" t="str">
        <x:v>REL; SSSL</x:v>
      </x:c>
      <x:c r="E29" s="60" t="str">
        <x:v>Prima facie and/or upheld</x:v>
      </x:c>
      <x:c r="F29" s="62" t="str">
        <x:v>Obtain official MCA-notified standards for law library</x:v>
      </x:c>
    </x:row>
  </x:sheetData>
  <x:mergeCells>
    <x:mergeCell ref="A1:F1"/>
    <x:mergeCell ref="A2:F2"/>
  </x:mergeCells>
  <x:pageMargins left="0.7" right="0.7" top="0.75" bottom="0.75" header="0.3" footer="0.3"/>
  <x:tableParts count="1">
    <x:tablePart xmlns:r="http://schemas.openxmlformats.org/officeDocument/2006/relationships" r:id="Rfb2b743ebc9f4cd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2" hidden="0" customWidth="1"/>
    <x:col min="2" max="2" width="14" hidden="0" customWidth="1"/>
    <x:col min="3" max="3" width="72" hidden="0" customWidth="1"/>
    <x:col min="4" max="4" width="28" hidden="0" customWidth="1"/>
    <x:col min="5" max="5" width="52" hidden="0" customWidth="1"/>
  </x:cols>
  <x:sheetData>
    <x:row r="1" ht="32" customHeight="1">
      <x:c r="A1" s="40" t="str">
        <x:v>Directions and Outcomes</x:v>
      </x:c>
      <x:c r="B1" s="40"/>
      <x:c r="C1" s="40"/>
      <x:c r="D1" s="40"/>
      <x:c r="E1" s="40"/>
    </x:row>
    <x:row r="2" ht="34" customHeight="1">
      <x:c r="A2" s="41" t="str">
        <x:v>Interim protective directions and final remedial/penal outcomes.</x:v>
      </x:c>
      <x:c r="B2" s="41"/>
      <x:c r="C2" s="41"/>
      <x:c r="D2" s="41"/>
      <x:c r="E2" s="41"/>
    </x:row>
    <x:row r="3">
      <x:c r="A3" s="42"/>
      <x:c r="B3" s="42"/>
      <x:c r="C3" s="42"/>
      <x:c r="D3" s="42"/>
      <x:c r="E3" s="42"/>
    </x:row>
    <x:row r="4" ht="30" customHeight="1">
      <x:c r="A4" s="43" t="str">
        <x:v>Case</x:v>
      </x:c>
      <x:c r="B4" s="50" t="str">
        <x:v>Stage</x:v>
      </x:c>
      <x:c r="C4" s="50" t="str">
        <x:v>Direction / outcome</x:v>
      </x:c>
      <x:c r="D4" s="50" t="str">
        <x:v>Paragraph reference</x:v>
      </x:c>
      <x:c r="E4" s="44" t="str">
        <x:v>Official SEBI source</x:v>
      </x:c>
    </x:row>
    <x:row r="5">
      <x:c r="A5" s="51" t="str">
        <x:v>Rajesh Exports Limited</x:v>
      </x:c>
      <x:c r="B5" s="52" t="str">
        <x:v>Interim</x:v>
      </x:c>
      <x:c r="C5" s="52" t="str">
        <x:v>Noticees to cooperate and provide specified records within 30 days</x:v>
      </x:c>
      <x:c r="D5" s="52" t="str">
        <x:v>Para 231(I)</x:v>
      </x:c>
      <x:c r="E5" s="54" t="str">
        <x:v>https://www.sebi.gov.in/enforcement/orders/jun-2026/interim-order-in-the-matter-of-rajesh-exports-limited_101820.html</x:v>
      </x:c>
    </x:row>
    <x:row r="6">
      <x:c r="A6" s="55" t="str">
        <x:v>Rajesh Exports Limited</x:v>
      </x:c>
      <x:c r="B6" s="56" t="str">
        <x:v>Interim</x:v>
      </x:c>
      <x:c r="C6" s="56" t="str">
        <x:v>Rajesh Mehta restrained from dealing in REL securities until further orders</x:v>
      </x:c>
      <x:c r="D6" s="56" t="str">
        <x:v>Para 231(II)</x:v>
      </x:c>
      <x:c r="E6" s="58" t="str">
        <x:v>https://www.sebi.gov.in/enforcement/orders/jun-2026/interim-order-in-the-matter-of-rajesh-exports-limited_101820.html</x:v>
      </x:c>
    </x:row>
    <x:row r="7">
      <x:c r="A7" s="55" t="str">
        <x:v>Rajesh Exports Limited</x:v>
      </x:c>
      <x:c r="B7" s="56" t="str">
        <x:v>Interim</x:v>
      </x:c>
      <x:c r="C7" s="56" t="str">
        <x:v>REL directed to make true and fair financial/RPT disclosures; new forensic auditor to be appointed</x:v>
      </x:c>
      <x:c r="D7" s="56" t="str">
        <x:v>Paras 231(III), 232-233</x:v>
      </x:c>
      <x:c r="E7" s="58" t="str">
        <x:v>https://www.sebi.gov.in/enforcement/orders/jun-2026/interim-order-in-the-matter-of-rajesh-exports-limited_101820.html</x:v>
      </x:c>
    </x:row>
    <x:row r="8">
      <x:c r="A8" s="55" t="str">
        <x:v>Rajesh Exports Limited</x:v>
      </x:c>
      <x:c r="B8" s="56" t="str">
        <x:v>Interim</x:v>
      </x:c>
      <x:c r="C8" s="56" t="str">
        <x:v>Order forwarded to NFRA regarding statutory auditors</x:v>
      </x:c>
      <x:c r="D8" s="56" t="str">
        <x:v>Para 234</x:v>
      </x:c>
      <x:c r="E8" s="58" t="str">
        <x:v>https://www.sebi.gov.in/enforcement/orders/jun-2026/interim-order-in-the-matter-of-rajesh-exports-limited_101820.html</x:v>
      </x:c>
    </x:row>
    <x:row r="9">
      <x:c r="A9" s="55" t="str">
        <x:v>Seacoast Shipping Services Limited</x:v>
      </x:c>
      <x:c r="B9" s="56" t="str">
        <x:v>Interim</x:v>
      </x:c>
      <x:c r="C9" s="56" t="str">
        <x:v>Company restrained from raising public money; market/access restraints against specified noticees</x:v>
      </x:c>
      <x:c r="D9" s="56" t="str">
        <x:v>Paras 157(a)-(c), 158</x:v>
      </x:c>
      <x:c r="E9" s="58" t="str">
        <x:v>https://www.sebi.gov.in/enforcement/orders/sep-2024/interim-order-in-the-matter-of-seacoast-shipping-services-limited_87152.html</x:v>
      </x:c>
    </x:row>
    <x:row r="10">
      <x:c r="A10" s="55" t="str">
        <x:v>Seacoast Shipping Services Limited</x:v>
      </x:c>
      <x:c r="B10" s="56" t="str">
        <x:v>Interim</x:v>
      </x:c>
      <x:c r="C10" s="56" t="str">
        <x:v>Alleged gains impounded; escrow, freeze, asset and inventory directions</x:v>
      </x:c>
      <x:c r="D10" s="56" t="str">
        <x:v>Paras 157(d)-(j)</x:v>
      </x:c>
      <x:c r="E10" s="58" t="str">
        <x:v>https://www.sebi.gov.in/enforcement/orders/sep-2024/interim-order-in-the-matter-of-seacoast-shipping-services-limited_87152.html</x:v>
      </x:c>
    </x:row>
    <x:row r="11">
      <x:c r="A11" s="55" t="str">
        <x:v>Seacoast Shipping Services Limited</x:v>
      </x:c>
      <x:c r="B11" s="56" t="str">
        <x:v>Interim</x:v>
      </x:c>
      <x:c r="C11" s="56" t="str">
        <x:v>Company directed to bring back diverted funds and reconstitute Audit Committee</x:v>
      </x:c>
      <x:c r="D11" s="56" t="str">
        <x:v>Paras 157(f),(k)</x:v>
      </x:c>
      <x:c r="E11" s="58" t="str">
        <x:v>https://www.sebi.gov.in/enforcement/orders/sep-2024/interim-order-in-the-matter-of-seacoast-shipping-services-limited_87152.html</x:v>
      </x:c>
    </x:row>
    <x:row r="12">
      <x:c r="A12" s="55" t="str">
        <x:v>Seacoast Shipping Services Limited</x:v>
      </x:c>
      <x:c r="B12" s="56" t="str">
        <x:v>Final</x:v>
      </x:c>
      <x:c r="C12" s="56" t="str">
        <x:v>Five-year restraints for company/promoters; one-year association restraint for Noticees 11 and 12</x:v>
      </x:c>
      <x:c r="D12" s="56" t="str">
        <x:v>Para 247(i)-(v)</x:v>
      </x:c>
      <x:c r="E12" s="58" t="str">
        <x:v>https://www.sebi.gov.in/sebi_data/attachdocs/sep-2025/final_order_sssl.pdf</x:v>
      </x:c>
    </x:row>
    <x:row r="13">
      <x:c r="A13" s="55" t="str">
        <x:v>Seacoast Shipping Services Limited</x:v>
      </x:c>
      <x:c r="B13" s="56" t="str">
        <x:v>Final</x:v>
      </x:c>
      <x:c r="C13" s="56" t="str">
        <x:v>Penalties under sections 15HA/15HB; INR 47,89,87,587 disgorgement plus 12% interest against Manish Shah</x:v>
      </x:c>
      <x:c r="D13" s="56" t="str">
        <x:v>Para 247(vi)-(vii)</x:v>
      </x:c>
      <x:c r="E13" s="58" t="str">
        <x:v>https://www.sebi.gov.in/sebi_data/attachdocs/sep-2025/final_order_sssl.pdf</x:v>
      </x:c>
    </x:row>
    <x:row r="14">
      <x:c r="A14" s="55" t="str">
        <x:v>Seacoast Shipping Services Limited</x:v>
      </x:c>
      <x:c r="B14" s="56" t="str">
        <x:v>Final</x:v>
      </x:c>
      <x:c r="C14" s="56" t="str">
        <x:v>Company to bring back diverted rights-issue/cash-credit funds and constitute a new Audit Committee</x:v>
      </x:c>
      <x:c r="D14" s="56" t="str">
        <x:v>Para 247(xiv)-(xv)</x:v>
      </x:c>
      <x:c r="E14" s="58" t="str">
        <x:v>https://www.sebi.gov.in/sebi_data/attachdocs/sep-2025/final_order_sssl.pdf</x:v>
      </x:c>
    </x:row>
    <x:row r="15">
      <x:c r="A15" s="59" t="str">
        <x:v>Seacoast Shipping Services Limited</x:v>
      </x:c>
      <x:c r="B15" s="60" t="str">
        <x:v>Final</x:v>
      </x:c>
      <x:c r="C15" s="60" t="str">
        <x:v>Directions against Noticees 4-10 vacated; proceedings against Noticee 13 abated</x:v>
      </x:c>
      <x:c r="D15" s="60" t="str">
        <x:v>Para 247(xvii)-(xviii)</x:v>
      </x:c>
      <x:c r="E15" s="62" t="str">
        <x:v>https://www.sebi.gov.in/sebi_data/attachdocs/sep-2025/final_order_sssl.pdf</x:v>
      </x:c>
    </x:row>
  </x:sheetData>
  <x:mergeCells>
    <x:mergeCell ref="A1:E1"/>
    <x:mergeCell ref="A2:E2"/>
  </x:mergeCells>
  <x:pageMargins left="0.7" right="0.7" top="0.75" bottom="0.75" header="0.3" footer="0.3"/>
  <x:tableParts count="1">
    <x:tablePart xmlns:r="http://schemas.openxmlformats.org/officeDocument/2006/relationships" r:id="Rd1b8a68697d54719"/>
  </x:tableParts>
</x:worksheet>
</file>